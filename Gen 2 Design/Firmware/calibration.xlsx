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8.xml.rels" ContentType="application/vnd.openxmlformats-package.relationships+xml"/>
  <Override PartName="/xl/worksheets/_rels/sheet10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ibrate-everyday" sheetId="1" state="visible" r:id="rId3"/>
    <sheet name="reverse-mount" sheetId="2" state="visible" r:id="rId4"/>
    <sheet name="May-1-2021" sheetId="3" state="visible" r:id="rId5"/>
    <sheet name="Apr-26-2021" sheetId="4" state="visible" r:id="rId6"/>
    <sheet name="Apr-20-2021-evening" sheetId="5" state="visible" r:id="rId7"/>
    <sheet name="Apr-20-2021" sheetId="6" state="visible" r:id="rId8"/>
    <sheet name="Apr-10-2021" sheetId="7" state="visible" r:id="rId9"/>
    <sheet name="using-metal-plates-again(Apr-4-" sheetId="8" state="visible" r:id="rId10"/>
    <sheet name="initial" sheetId="9" state="visible" r:id="rId11"/>
    <sheet name="using-quarters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<sst xmlns="http://schemas.openxmlformats.org/spreadsheetml/2006/main" count="147" uniqueCount="66">
  <si>
    <t xml:space="preserve">Nothing</t>
  </si>
  <si>
    <t xml:space="preserve">100g calibration weight</t>
  </si>
  <si>
    <t xml:space="preserve">0g </t>
  </si>
  <si>
    <t xml:space="preserve">100g</t>
  </si>
  <si>
    <t xml:space="preserve">Units Per Gram</t>
  </si>
  <si>
    <t xml:space="preserve">Zero</t>
  </si>
  <si>
    <t xml:space="preserve">Average</t>
  </si>
  <si>
    <t xml:space="preserve">1 plate</t>
  </si>
  <si>
    <t xml:space="preserve">2 plate</t>
  </si>
  <si>
    <t xml:space="preserve">A steel shaft</t>
  </si>
  <si>
    <t xml:space="preserve">Theoretical</t>
  </si>
  <si>
    <t xml:space="preserve">X</t>
  </si>
  <si>
    <t xml:space="preserve">Y</t>
  </si>
  <si>
    <t xml:space="preserve">Regression</t>
  </si>
  <si>
    <t xml:space="preserve">Regression Model</t>
  </si>
  <si>
    <t xml:space="preserve">Linear</t>
  </si>
  <si>
    <t xml:space="preserve">LINEST raw output</t>
  </si>
  <si>
    <t xml:space="preserve">Y = (1/3066.32)X – 44.03</t>
  </si>
  <si>
    <t xml:space="preserve">Regression Statistics</t>
  </si>
  <si>
    <t xml:space="preserve">R^2</t>
  </si>
  <si>
    <t xml:space="preserve">Standard Error</t>
  </si>
  <si>
    <t xml:space="preserve">Count of X variables</t>
  </si>
  <si>
    <t xml:space="preserve">Observations</t>
  </si>
  <si>
    <t xml:space="preserve">Adjusted R^2</t>
  </si>
  <si>
    <t xml:space="preserve">Analysis of Variance (ANOVA)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</si>
  <si>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</si>
  <si>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</si>
  <si>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</si>
  <si>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</si>
  <si>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</si>
  <si>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Residual</t>
  </si>
  <si>
    <t xml:space="preserve">Total</t>
  </si>
  <si>
    <t xml:space="preserve">Confidence level</t>
  </si>
  <si>
    <t xml:space="preserve">Coefficients</t>
  </si>
  <si>
    <t xml:space="preserve">t-Statistic</t>
  </si>
  <si>
    <t xml:space="preserve">P-value</t>
  </si>
  <si>
    <t xml:space="preserve">Predicted Y</t>
  </si>
  <si>
    <t xml:space="preserve">This was calculated using some stainless steel plates I had laser cut a while ago, and whose dimensions I measured with calipers.</t>
  </si>
  <si>
    <t xml:space="preserve">Also a steel shaft I had</t>
  </si>
  <si>
    <t xml:space="preserve">Theoretical weight of each metal plate: 104.9g </t>
  </si>
  <si>
    <t xml:space="preserve">Theoretical weight of steel shaft: 5.14g </t>
  </si>
  <si>
    <t xml:space="preserve">Level no load</t>
  </si>
  <si>
    <t xml:space="preserve">Up no load</t>
  </si>
  <si>
    <t xml:space="preserve">Up with 136g plate hanging off</t>
  </si>
  <si>
    <t xml:space="preserve">Down no load</t>
  </si>
  <si>
    <t xml:space="preserve">0g</t>
  </si>
  <si>
    <t xml:space="preserve">-136.3g</t>
  </si>
  <si>
    <t xml:space="preserve">~3004 units per gram</t>
  </si>
  <si>
    <t xml:space="preserve">Y = (1/3004)X - 44.84</t>
  </si>
  <si>
    <t xml:space="preserve">Where Y is measurement in gram-force</t>
  </si>
  <si>
    <t xml:space="preserve">X is the raw ADC reading</t>
  </si>
  <si>
    <t xml:space="preserve">These are some quite tests I run to get a crude initial calibration. I neither have an accurate scale nor any calibrated weights, so I used a plate for a keyboard I designed and used its estimated mass from CAD. The plate was estimated to be 136g from CAD, and measured 131g on a cheap Amazonbasics scale. I hung the plate off the load cell with the unit facing upwards.</t>
  </si>
  <si>
    <t xml:space="preserve">These are raw ADC readings</t>
  </si>
  <si>
    <t xml:space="preserve">1 quarter</t>
  </si>
  <si>
    <t xml:space="preserve">3 quarters</t>
  </si>
  <si>
    <t xml:space="preserve">7 quarters</t>
  </si>
  <si>
    <t xml:space="preserve">10 quarters</t>
  </si>
  <si>
    <t xml:space="preserve">Coin tolerances are +/-4% according to https://www.thesprucecrafts.com/how-much-do-coins-weigh-4171330#:~:text=All%2025%2Dcent%20coins%20manufactured,a%20diameter%20of%2024.26%20millimeters</t>
  </si>
  <si>
    <t xml:space="preserve">-5.67g</t>
  </si>
  <si>
    <t xml:space="preserve">-17.01g</t>
  </si>
  <si>
    <t xml:space="preserve">-56.7g</t>
  </si>
  <si>
    <t xml:space="preserve">Measured with cheap Amazon scale</t>
  </si>
  <si>
    <t xml:space="preserve">Fluctuates 56 and 57 </t>
  </si>
  <si>
    <t xml:space="preserve">Y = (1/3108.74)X - 43.6</t>
  </si>
  <si>
    <t xml:space="preserve">Two point: 1/3104.65 - 43.5</t>
  </si>
  <si>
    <t xml:space="preserve">This was calibrated using coins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</si>
</sst>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'using-metal-plates-again(Apr-4-'!$K$5:$K$8</c:f>
              <c:numCache>
                <c:formatCode>General</c:formatCode>
                <c:ptCount val="4"/>
                <c:pt idx="0">
                  <c:v>0</c:v>
                </c:pt>
                <c:pt idx="1">
                  <c:v>-104.9</c:v>
                </c:pt>
                <c:pt idx="2">
                  <c:v>-209.8</c:v>
                </c:pt>
                <c:pt idx="3">
                  <c:v>-5.14</c:v>
                </c:pt>
              </c:numCache>
            </c:numRef>
          </c:xVal>
          <c:yVal>
            <c:numRef>
              <c:f>'using-metal-plates-again(Apr-4-'!$L$5:$L$8</c:f>
              <c:numCache>
                <c:formatCode>General</c:formatCode>
                <c:ptCount val="4"/>
                <c:pt idx="0">
                  <c:v>134845.9</c:v>
                </c:pt>
                <c:pt idx="1">
                  <c:v>-186443.74</c:v>
                </c:pt>
                <c:pt idx="2">
                  <c:v>-508269.14</c:v>
                </c:pt>
                <c:pt idx="3">
                  <c:v>119553.98</c:v>
                </c:pt>
              </c:numCache>
            </c:numRef>
          </c:yVal>
          <c:smooth val="0"/>
        </c:ser>
        <c:axId val="94047739"/>
        <c:axId val="36826997"/>
      </c:scatterChart>
      <c:valAx>
        <c:axId val="9404773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6826997"/>
        <c:crosses val="autoZero"/>
        <c:crossBetween val="midCat"/>
      </c:valAx>
      <c:valAx>
        <c:axId val="368269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404773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'using-quarters'!$K$5:$K$8</c:f>
              <c:numCache>
                <c:formatCode>General</c:formatCode>
                <c:ptCount val="4"/>
                <c:pt idx="0">
                  <c:v>0</c:v>
                </c:pt>
                <c:pt idx="1">
                  <c:v>-5.67</c:v>
                </c:pt>
                <c:pt idx="2">
                  <c:v>-17.01</c:v>
                </c:pt>
                <c:pt idx="3">
                  <c:v>-39.7</c:v>
                </c:pt>
              </c:numCache>
            </c:numRef>
          </c:xVal>
          <c:yVal>
            <c:numRef>
              <c:f>'using-quarters'!$L$5:$L$8</c:f>
              <c:numCache>
                <c:formatCode>General</c:formatCode>
                <c:ptCount val="4"/>
                <c:pt idx="0">
                  <c:v>135138.58</c:v>
                </c:pt>
                <c:pt idx="1">
                  <c:v>118194.04</c:v>
                </c:pt>
                <c:pt idx="2">
                  <c:v>82914.6</c:v>
                </c:pt>
                <c:pt idx="3">
                  <c:v>12600.36</c:v>
                </c:pt>
              </c:numCache>
            </c:numRef>
          </c:yVal>
          <c:smooth val="0"/>
        </c:ser>
        <c:axId val="28345221"/>
        <c:axId val="16027791"/>
      </c:scatterChart>
      <c:valAx>
        <c:axId val="2834522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6027791"/>
        <c:crosses val="autoZero"/>
        <c:crossBetween val="midCat"/>
      </c:valAx>
      <c:valAx>
        <c:axId val="160277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834522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462240</xdr:colOff>
      <xdr:row>3</xdr:row>
      <xdr:rowOff>56880</xdr:rowOff>
    </xdr:from>
    <xdr:to>
      <xdr:col>20</xdr:col>
      <xdr:colOff>129960</xdr:colOff>
      <xdr:row>24</xdr:row>
      <xdr:rowOff>113760</xdr:rowOff>
    </xdr:to>
    <xdr:graphicFrame>
      <xdr:nvGraphicFramePr>
        <xdr:cNvPr id="0" name=""/>
        <xdr:cNvGraphicFramePr/>
      </xdr:nvGraphicFramePr>
      <xdr:xfrm>
        <a:off x="10406520" y="544680"/>
        <a:ext cx="6297120" cy="347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347040</xdr:colOff>
      <xdr:row>5</xdr:row>
      <xdr:rowOff>75240</xdr:rowOff>
    </xdr:from>
    <xdr:to>
      <xdr:col>20</xdr:col>
      <xdr:colOff>403560</xdr:colOff>
      <xdr:row>25</xdr:row>
      <xdr:rowOff>52200</xdr:rowOff>
    </xdr:to>
    <xdr:graphicFrame>
      <xdr:nvGraphicFramePr>
        <xdr:cNvPr id="1" name=""/>
        <xdr:cNvGraphicFramePr/>
      </xdr:nvGraphicFramePr>
      <xdr:xfrm>
        <a:off x="11119680" y="890640"/>
        <a:ext cx="5857560" cy="322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thesprucecrafts.com/how-much-do-coins-weigh-4171330" TargetMode="External"/><Relationship Id="rId2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2.8" hidden="false" customHeight="false" outlineLevel="0" collapsed="false">
      <c r="B1" s="2" t="s">
        <v>0</v>
      </c>
      <c r="C1" s="2" t="s">
        <v>1</v>
      </c>
    </row>
    <row r="2" customFormat="false" ht="12.8" hidden="false" customHeight="false" outlineLevel="0" collapsed="false">
      <c r="B2" s="2" t="s">
        <v>2</v>
      </c>
      <c r="C2" s="2" t="s">
        <v>3</v>
      </c>
    </row>
    <row r="3" customFormat="false" ht="12.8" hidden="false" customHeight="false" outlineLevel="0" collapsed="false">
      <c r="B3" s="1" t="n">
        <v>-87430</v>
      </c>
      <c r="C3" s="2" t="n">
        <v>-396766</v>
      </c>
    </row>
    <row r="4" customFormat="false" ht="12.8" hidden="false" customHeight="false" outlineLevel="0" collapsed="false">
      <c r="B4" s="2" t="n">
        <v>-87476</v>
      </c>
      <c r="C4" s="2" t="n">
        <v>-396521</v>
      </c>
    </row>
    <row r="5" customFormat="false" ht="12.8" hidden="false" customHeight="false" outlineLevel="0" collapsed="false">
      <c r="B5" s="2" t="n">
        <v>-87308</v>
      </c>
      <c r="C5" s="2" t="n">
        <v>-396554</v>
      </c>
      <c r="F5" s="1" t="n">
        <v>0</v>
      </c>
      <c r="G5" s="1" t="n">
        <f aca="false">$B$102</f>
        <v>-87437.9595959596</v>
      </c>
      <c r="J5" s="1" t="s">
        <v>4</v>
      </c>
      <c r="K5" s="1" t="n">
        <f aca="false">(G5-G6)/(F5-F6)</f>
        <v>3093.1604040404</v>
      </c>
    </row>
    <row r="6" customFormat="false" ht="12.8" hidden="false" customHeight="false" outlineLevel="0" collapsed="false">
      <c r="B6" s="2" t="n">
        <v>-87399</v>
      </c>
      <c r="C6" s="2" t="n">
        <v>-396804</v>
      </c>
      <c r="F6" s="1" t="n">
        <v>-100</v>
      </c>
      <c r="G6" s="1" t="n">
        <f aca="false">$C$97</f>
        <v>-396754</v>
      </c>
      <c r="J6" s="1" t="s">
        <v>5</v>
      </c>
      <c r="K6" s="1" t="n">
        <f aca="false">G5/K5</f>
        <v>-28.2681620654864</v>
      </c>
    </row>
    <row r="7" customFormat="false" ht="12.8" hidden="false" customHeight="false" outlineLevel="0" collapsed="false">
      <c r="B7" s="2" t="n">
        <v>-87371</v>
      </c>
      <c r="C7" s="2" t="n">
        <v>-396942</v>
      </c>
    </row>
    <row r="8" customFormat="false" ht="12.8" hidden="false" customHeight="false" outlineLevel="0" collapsed="false">
      <c r="B8" s="2" t="n">
        <v>-87414</v>
      </c>
      <c r="C8" s="2" t="n">
        <v>-396601</v>
      </c>
    </row>
    <row r="9" customFormat="false" ht="12.8" hidden="false" customHeight="false" outlineLevel="0" collapsed="false">
      <c r="B9" s="2" t="n">
        <v>-87342</v>
      </c>
      <c r="C9" s="2" t="n">
        <v>-396880</v>
      </c>
    </row>
    <row r="10" customFormat="false" ht="12.8" hidden="false" customHeight="false" outlineLevel="0" collapsed="false">
      <c r="B10" s="2" t="n">
        <v>-87260</v>
      </c>
      <c r="C10" s="2" t="n">
        <v>-396742</v>
      </c>
    </row>
    <row r="11" customFormat="false" ht="12.8" hidden="false" customHeight="false" outlineLevel="0" collapsed="false">
      <c r="B11" s="2" t="n">
        <v>-87511</v>
      </c>
      <c r="C11" s="2" t="n">
        <v>-396405</v>
      </c>
    </row>
    <row r="12" customFormat="false" ht="12.8" hidden="false" customHeight="false" outlineLevel="0" collapsed="false">
      <c r="B12" s="2" t="n">
        <v>-87424</v>
      </c>
      <c r="C12" s="2" t="n">
        <v>-396663</v>
      </c>
    </row>
    <row r="13" customFormat="false" ht="12.8" hidden="false" customHeight="false" outlineLevel="0" collapsed="false">
      <c r="B13" s="2" t="n">
        <v>-87514</v>
      </c>
      <c r="C13" s="2" t="n">
        <v>-396592</v>
      </c>
    </row>
    <row r="14" customFormat="false" ht="12.8" hidden="false" customHeight="false" outlineLevel="0" collapsed="false">
      <c r="B14" s="2" t="n">
        <v>-87577</v>
      </c>
      <c r="C14" s="2" t="n">
        <v>-396845</v>
      </c>
    </row>
    <row r="15" customFormat="false" ht="12.8" hidden="false" customHeight="false" outlineLevel="0" collapsed="false">
      <c r="B15" s="2" t="n">
        <v>-87510</v>
      </c>
      <c r="C15" s="2" t="n">
        <v>-396735</v>
      </c>
    </row>
    <row r="16" customFormat="false" ht="12.8" hidden="false" customHeight="false" outlineLevel="0" collapsed="false">
      <c r="B16" s="2" t="n">
        <v>-87493</v>
      </c>
      <c r="C16" s="2" t="n">
        <v>-396950</v>
      </c>
    </row>
    <row r="17" customFormat="false" ht="12.8" hidden="false" customHeight="false" outlineLevel="0" collapsed="false">
      <c r="B17" s="2" t="n">
        <v>-87529</v>
      </c>
      <c r="C17" s="2" t="n">
        <v>-396656</v>
      </c>
    </row>
    <row r="18" customFormat="false" ht="12.8" hidden="false" customHeight="false" outlineLevel="0" collapsed="false">
      <c r="B18" s="2" t="n">
        <v>-87488</v>
      </c>
      <c r="C18" s="2" t="n">
        <v>-396976</v>
      </c>
    </row>
    <row r="19" customFormat="false" ht="12.8" hidden="false" customHeight="false" outlineLevel="0" collapsed="false">
      <c r="B19" s="2" t="n">
        <v>-87371</v>
      </c>
      <c r="C19" s="2" t="n">
        <v>-396705</v>
      </c>
    </row>
    <row r="20" customFormat="false" ht="12.8" hidden="false" customHeight="false" outlineLevel="0" collapsed="false">
      <c r="B20" s="2" t="n">
        <v>-87380</v>
      </c>
      <c r="C20" s="2" t="n">
        <v>-396938</v>
      </c>
    </row>
    <row r="21" customFormat="false" ht="12.8" hidden="false" customHeight="false" outlineLevel="0" collapsed="false">
      <c r="B21" s="2" t="n">
        <v>-87426</v>
      </c>
      <c r="C21" s="2" t="n">
        <v>-396558</v>
      </c>
    </row>
    <row r="22" customFormat="false" ht="12.8" hidden="false" customHeight="false" outlineLevel="0" collapsed="false">
      <c r="B22" s="2" t="n">
        <v>-87583</v>
      </c>
      <c r="C22" s="2" t="n">
        <v>-396768</v>
      </c>
    </row>
    <row r="23" customFormat="false" ht="12.8" hidden="false" customHeight="false" outlineLevel="0" collapsed="false">
      <c r="B23" s="2" t="n">
        <v>-87500</v>
      </c>
      <c r="C23" s="2" t="n">
        <v>-396662</v>
      </c>
    </row>
    <row r="24" customFormat="false" ht="12.8" hidden="false" customHeight="false" outlineLevel="0" collapsed="false">
      <c r="B24" s="2" t="n">
        <v>-87507</v>
      </c>
      <c r="C24" s="2" t="n">
        <v>-396922</v>
      </c>
    </row>
    <row r="25" customFormat="false" ht="12.8" hidden="false" customHeight="false" outlineLevel="0" collapsed="false">
      <c r="B25" s="2" t="n">
        <v>-87648</v>
      </c>
      <c r="C25" s="2" t="n">
        <v>-396486</v>
      </c>
    </row>
    <row r="26" customFormat="false" ht="12.8" hidden="false" customHeight="false" outlineLevel="0" collapsed="false">
      <c r="B26" s="2" t="n">
        <v>-87394</v>
      </c>
      <c r="C26" s="2" t="n">
        <v>-396636</v>
      </c>
    </row>
    <row r="27" customFormat="false" ht="12.8" hidden="false" customHeight="false" outlineLevel="0" collapsed="false">
      <c r="B27" s="2" t="n">
        <v>-87487</v>
      </c>
      <c r="C27" s="2" t="n">
        <v>-396853</v>
      </c>
    </row>
    <row r="28" customFormat="false" ht="12.8" hidden="false" customHeight="false" outlineLevel="0" collapsed="false">
      <c r="B28" s="2" t="n">
        <v>-87606</v>
      </c>
      <c r="C28" s="2" t="n">
        <v>-396675</v>
      </c>
    </row>
    <row r="29" customFormat="false" ht="12.8" hidden="false" customHeight="false" outlineLevel="0" collapsed="false">
      <c r="B29" s="2" t="n">
        <v>-87320</v>
      </c>
      <c r="C29" s="2" t="n">
        <v>-396620</v>
      </c>
    </row>
    <row r="30" customFormat="false" ht="12.8" hidden="false" customHeight="false" outlineLevel="0" collapsed="false">
      <c r="B30" s="2" t="n">
        <v>-87334</v>
      </c>
      <c r="C30" s="2" t="n">
        <v>-396693</v>
      </c>
    </row>
    <row r="31" customFormat="false" ht="12.8" hidden="false" customHeight="false" outlineLevel="0" collapsed="false">
      <c r="B31" s="2" t="n">
        <v>-87364</v>
      </c>
      <c r="C31" s="2" t="n">
        <v>-396686</v>
      </c>
    </row>
    <row r="32" customFormat="false" ht="12.8" hidden="false" customHeight="false" outlineLevel="0" collapsed="false">
      <c r="B32" s="2" t="n">
        <v>-87241</v>
      </c>
      <c r="C32" s="2" t="n">
        <v>-396622</v>
      </c>
    </row>
    <row r="33" customFormat="false" ht="12.8" hidden="false" customHeight="false" outlineLevel="0" collapsed="false">
      <c r="B33" s="2" t="n">
        <v>-87359</v>
      </c>
      <c r="C33" s="2" t="n">
        <v>-396623</v>
      </c>
    </row>
    <row r="34" customFormat="false" ht="12.8" hidden="false" customHeight="false" outlineLevel="0" collapsed="false">
      <c r="B34" s="2" t="n">
        <v>-87460</v>
      </c>
      <c r="C34" s="2" t="n">
        <v>-396753</v>
      </c>
    </row>
    <row r="35" customFormat="false" ht="12.8" hidden="false" customHeight="false" outlineLevel="0" collapsed="false">
      <c r="B35" s="2" t="n">
        <v>-87430</v>
      </c>
      <c r="C35" s="2" t="n">
        <v>-396576</v>
      </c>
    </row>
    <row r="36" customFormat="false" ht="12.8" hidden="false" customHeight="false" outlineLevel="0" collapsed="false">
      <c r="B36" s="2" t="n">
        <v>-87482</v>
      </c>
      <c r="C36" s="2" t="n">
        <v>-396769</v>
      </c>
    </row>
    <row r="37" customFormat="false" ht="12.8" hidden="false" customHeight="false" outlineLevel="0" collapsed="false">
      <c r="B37" s="2" t="n">
        <v>-87407</v>
      </c>
      <c r="C37" s="2" t="n">
        <v>-396545</v>
      </c>
    </row>
    <row r="38" customFormat="false" ht="12.8" hidden="false" customHeight="false" outlineLevel="0" collapsed="false">
      <c r="B38" s="2" t="n">
        <v>-87400</v>
      </c>
      <c r="C38" s="2" t="n">
        <v>-396636</v>
      </c>
    </row>
    <row r="39" customFormat="false" ht="12.8" hidden="false" customHeight="false" outlineLevel="0" collapsed="false">
      <c r="B39" s="2" t="n">
        <v>-87432</v>
      </c>
      <c r="C39" s="2" t="n">
        <v>-396678</v>
      </c>
    </row>
    <row r="40" customFormat="false" ht="12.8" hidden="false" customHeight="false" outlineLevel="0" collapsed="false">
      <c r="B40" s="2" t="n">
        <v>-87453</v>
      </c>
      <c r="C40" s="2" t="n">
        <v>-396719</v>
      </c>
    </row>
    <row r="41" customFormat="false" ht="12.8" hidden="false" customHeight="false" outlineLevel="0" collapsed="false">
      <c r="B41" s="2" t="n">
        <v>-87412</v>
      </c>
      <c r="C41" s="2" t="n">
        <v>-396781</v>
      </c>
    </row>
    <row r="42" customFormat="false" ht="12.8" hidden="false" customHeight="false" outlineLevel="0" collapsed="false">
      <c r="B42" s="2" t="n">
        <v>-87419</v>
      </c>
      <c r="C42" s="2" t="n">
        <v>-396738</v>
      </c>
    </row>
    <row r="43" customFormat="false" ht="12.8" hidden="false" customHeight="false" outlineLevel="0" collapsed="false">
      <c r="B43" s="2" t="n">
        <v>-87419</v>
      </c>
      <c r="C43" s="2" t="n">
        <v>-396838</v>
      </c>
    </row>
    <row r="44" customFormat="false" ht="12.8" hidden="false" customHeight="false" outlineLevel="0" collapsed="false">
      <c r="B44" s="2" t="n">
        <v>-87478</v>
      </c>
      <c r="C44" s="2" t="n">
        <v>-396680</v>
      </c>
    </row>
    <row r="45" customFormat="false" ht="12.8" hidden="false" customHeight="false" outlineLevel="0" collapsed="false">
      <c r="B45" s="2" t="n">
        <v>-87436</v>
      </c>
      <c r="C45" s="2" t="n">
        <v>-396627</v>
      </c>
    </row>
    <row r="46" customFormat="false" ht="12.8" hidden="false" customHeight="false" outlineLevel="0" collapsed="false">
      <c r="B46" s="2" t="n">
        <v>-87417</v>
      </c>
      <c r="C46" s="2" t="n">
        <v>-396741</v>
      </c>
    </row>
    <row r="47" customFormat="false" ht="12.8" hidden="false" customHeight="false" outlineLevel="0" collapsed="false">
      <c r="B47" s="2" t="n">
        <v>-87332</v>
      </c>
      <c r="C47" s="2" t="n">
        <v>-396640</v>
      </c>
    </row>
    <row r="48" customFormat="false" ht="12.8" hidden="false" customHeight="false" outlineLevel="0" collapsed="false">
      <c r="B48" s="2" t="n">
        <v>-87343</v>
      </c>
      <c r="C48" s="2" t="n">
        <v>-396759</v>
      </c>
    </row>
    <row r="49" customFormat="false" ht="12.8" hidden="false" customHeight="false" outlineLevel="0" collapsed="false">
      <c r="B49" s="2" t="n">
        <v>-87223</v>
      </c>
      <c r="C49" s="2" t="n">
        <v>-396772</v>
      </c>
    </row>
    <row r="50" customFormat="false" ht="12.8" hidden="false" customHeight="false" outlineLevel="0" collapsed="false">
      <c r="B50" s="2" t="n">
        <v>-87490</v>
      </c>
      <c r="C50" s="2" t="n">
        <v>-396468</v>
      </c>
    </row>
    <row r="51" customFormat="false" ht="12.8" hidden="false" customHeight="false" outlineLevel="0" collapsed="false">
      <c r="B51" s="2" t="n">
        <v>-87559</v>
      </c>
      <c r="C51" s="2" t="n">
        <v>-396524</v>
      </c>
    </row>
    <row r="52" customFormat="false" ht="12.8" hidden="false" customHeight="false" outlineLevel="0" collapsed="false">
      <c r="B52" s="2" t="n">
        <v>-87424</v>
      </c>
      <c r="C52" s="2" t="n">
        <v>-396749</v>
      </c>
    </row>
    <row r="53" customFormat="false" ht="12.8" hidden="false" customHeight="false" outlineLevel="0" collapsed="false">
      <c r="B53" s="2" t="n">
        <v>-87580</v>
      </c>
      <c r="C53" s="2" t="n">
        <v>-396609</v>
      </c>
    </row>
    <row r="54" customFormat="false" ht="12.8" hidden="false" customHeight="false" outlineLevel="0" collapsed="false">
      <c r="B54" s="2" t="n">
        <v>-87547</v>
      </c>
      <c r="C54" s="2" t="n">
        <v>-396671</v>
      </c>
    </row>
    <row r="55" customFormat="false" ht="12.8" hidden="false" customHeight="false" outlineLevel="0" collapsed="false">
      <c r="B55" s="1" t="n">
        <v>-87591</v>
      </c>
      <c r="C55" s="1" t="n">
        <v>-396652</v>
      </c>
    </row>
    <row r="56" customFormat="false" ht="12.8" hidden="false" customHeight="false" outlineLevel="0" collapsed="false">
      <c r="B56" s="1" t="n">
        <v>-87477</v>
      </c>
      <c r="C56" s="1" t="n">
        <v>-396523</v>
      </c>
    </row>
    <row r="57" customFormat="false" ht="12.8" hidden="false" customHeight="false" outlineLevel="0" collapsed="false">
      <c r="B57" s="1" t="n">
        <v>-87339</v>
      </c>
      <c r="C57" s="1" t="n">
        <v>-396767</v>
      </c>
    </row>
    <row r="58" customFormat="false" ht="12.8" hidden="false" customHeight="false" outlineLevel="0" collapsed="false">
      <c r="B58" s="1" t="n">
        <v>-87415</v>
      </c>
      <c r="C58" s="1" t="n">
        <v>-396811</v>
      </c>
    </row>
    <row r="59" customFormat="false" ht="12.8" hidden="false" customHeight="false" outlineLevel="0" collapsed="false">
      <c r="B59" s="1" t="n">
        <v>-87497</v>
      </c>
      <c r="C59" s="1" t="n">
        <v>-396690</v>
      </c>
    </row>
    <row r="60" customFormat="false" ht="12.8" hidden="false" customHeight="false" outlineLevel="0" collapsed="false">
      <c r="B60" s="1" t="n">
        <v>-87450</v>
      </c>
      <c r="C60" s="1" t="n">
        <v>-396309</v>
      </c>
    </row>
    <row r="61" customFormat="false" ht="12.8" hidden="false" customHeight="false" outlineLevel="0" collapsed="false">
      <c r="B61" s="1" t="n">
        <v>-87556</v>
      </c>
      <c r="C61" s="1" t="n">
        <v>-396852</v>
      </c>
    </row>
    <row r="62" customFormat="false" ht="12.8" hidden="false" customHeight="false" outlineLevel="0" collapsed="false">
      <c r="B62" s="1" t="n">
        <v>-87394</v>
      </c>
      <c r="C62" s="1" t="n">
        <v>-396591</v>
      </c>
    </row>
    <row r="63" customFormat="false" ht="12.8" hidden="false" customHeight="false" outlineLevel="0" collapsed="false">
      <c r="B63" s="1" t="n">
        <v>-87403</v>
      </c>
      <c r="C63" s="1" t="n">
        <v>-396031</v>
      </c>
    </row>
    <row r="64" customFormat="false" ht="12.8" hidden="false" customHeight="false" outlineLevel="0" collapsed="false">
      <c r="B64" s="1" t="n">
        <v>-87322</v>
      </c>
      <c r="C64" s="1" t="n">
        <v>-396616</v>
      </c>
    </row>
    <row r="65" customFormat="false" ht="12.8" hidden="false" customHeight="false" outlineLevel="0" collapsed="false">
      <c r="B65" s="1" t="n">
        <v>-87322</v>
      </c>
      <c r="C65" s="1" t="n">
        <v>-396865</v>
      </c>
    </row>
    <row r="66" customFormat="false" ht="12.8" hidden="false" customHeight="false" outlineLevel="0" collapsed="false">
      <c r="B66" s="1" t="n">
        <v>-87353</v>
      </c>
      <c r="C66" s="1" t="n">
        <v>-396614</v>
      </c>
    </row>
    <row r="67" customFormat="false" ht="12.8" hidden="false" customHeight="false" outlineLevel="0" collapsed="false">
      <c r="B67" s="1" t="n">
        <v>-87475</v>
      </c>
      <c r="C67" s="1" t="n">
        <v>-396122</v>
      </c>
    </row>
    <row r="68" customFormat="false" ht="12.8" hidden="false" customHeight="false" outlineLevel="0" collapsed="false">
      <c r="B68" s="1" t="n">
        <v>-87494</v>
      </c>
      <c r="C68" s="1" t="n">
        <v>-397602</v>
      </c>
    </row>
    <row r="69" customFormat="false" ht="12.8" hidden="false" customHeight="false" outlineLevel="0" collapsed="false">
      <c r="B69" s="1" t="n">
        <v>-87584</v>
      </c>
      <c r="C69" s="1" t="n">
        <v>-396950</v>
      </c>
    </row>
    <row r="70" customFormat="false" ht="12.8" hidden="false" customHeight="false" outlineLevel="0" collapsed="false">
      <c r="B70" s="1" t="n">
        <v>-87360</v>
      </c>
      <c r="C70" s="1" t="n">
        <v>-396415</v>
      </c>
    </row>
    <row r="71" customFormat="false" ht="12.8" hidden="false" customHeight="false" outlineLevel="0" collapsed="false">
      <c r="B71" s="1" t="n">
        <v>-87532</v>
      </c>
      <c r="C71" s="1" t="n">
        <v>-396691</v>
      </c>
    </row>
    <row r="72" customFormat="false" ht="12.8" hidden="false" customHeight="false" outlineLevel="0" collapsed="false">
      <c r="B72" s="1" t="n">
        <v>-87320</v>
      </c>
      <c r="C72" s="1" t="n">
        <v>-396430</v>
      </c>
    </row>
    <row r="73" customFormat="false" ht="12.8" hidden="false" customHeight="false" outlineLevel="0" collapsed="false">
      <c r="B73" s="1" t="n">
        <v>-87440</v>
      </c>
      <c r="C73" s="1" t="n">
        <v>-396750</v>
      </c>
    </row>
    <row r="74" customFormat="false" ht="12.8" hidden="false" customHeight="false" outlineLevel="0" collapsed="false">
      <c r="B74" s="1" t="n">
        <v>-87632</v>
      </c>
      <c r="C74" s="1" t="n">
        <v>-396919</v>
      </c>
    </row>
    <row r="75" customFormat="false" ht="12.8" hidden="false" customHeight="false" outlineLevel="0" collapsed="false">
      <c r="B75" s="1" t="n">
        <v>-87402</v>
      </c>
      <c r="C75" s="1" t="n">
        <v>-396587</v>
      </c>
    </row>
    <row r="76" customFormat="false" ht="12.8" hidden="false" customHeight="false" outlineLevel="0" collapsed="false">
      <c r="B76" s="1" t="n">
        <v>-87472</v>
      </c>
      <c r="C76" s="1" t="n">
        <v>-396485</v>
      </c>
    </row>
    <row r="77" customFormat="false" ht="12.8" hidden="false" customHeight="false" outlineLevel="0" collapsed="false">
      <c r="B77" s="1" t="n">
        <v>-87465</v>
      </c>
      <c r="C77" s="1" t="n">
        <v>-396653</v>
      </c>
    </row>
    <row r="78" customFormat="false" ht="12.8" hidden="false" customHeight="false" outlineLevel="0" collapsed="false">
      <c r="B78" s="1" t="n">
        <v>-87288</v>
      </c>
      <c r="C78" s="1" t="n">
        <v>-396512</v>
      </c>
    </row>
    <row r="79" customFormat="false" ht="12.8" hidden="false" customHeight="false" outlineLevel="0" collapsed="false">
      <c r="B79" s="1" t="n">
        <v>-87500</v>
      </c>
      <c r="C79" s="1" t="n">
        <v>-396744</v>
      </c>
    </row>
    <row r="80" customFormat="false" ht="12.8" hidden="false" customHeight="false" outlineLevel="0" collapsed="false">
      <c r="B80" s="1" t="n">
        <v>-87400</v>
      </c>
      <c r="C80" s="1" t="n">
        <v>-396740</v>
      </c>
    </row>
    <row r="81" customFormat="false" ht="12.8" hidden="false" customHeight="false" outlineLevel="0" collapsed="false">
      <c r="B81" s="1" t="n">
        <v>-87428</v>
      </c>
      <c r="C81" s="1" t="n">
        <v>-396440</v>
      </c>
    </row>
    <row r="82" customFormat="false" ht="12.8" hidden="false" customHeight="false" outlineLevel="0" collapsed="false">
      <c r="B82" s="1" t="n">
        <v>-87314</v>
      </c>
      <c r="C82" s="1" t="n">
        <v>-396495</v>
      </c>
    </row>
    <row r="83" customFormat="false" ht="12.8" hidden="false" customHeight="false" outlineLevel="0" collapsed="false">
      <c r="B83" s="1" t="n">
        <v>-87459</v>
      </c>
      <c r="C83" s="1" t="n">
        <v>-396775</v>
      </c>
    </row>
    <row r="84" customFormat="false" ht="12.8" hidden="false" customHeight="false" outlineLevel="0" collapsed="false">
      <c r="B84" s="1" t="n">
        <v>-87459</v>
      </c>
      <c r="C84" s="1" t="n">
        <v>-396663</v>
      </c>
    </row>
    <row r="85" customFormat="false" ht="12.8" hidden="false" customHeight="false" outlineLevel="0" collapsed="false">
      <c r="B85" s="1" t="n">
        <v>-87494</v>
      </c>
      <c r="C85" s="1" t="n">
        <v>-396631</v>
      </c>
    </row>
    <row r="86" customFormat="false" ht="12.8" hidden="false" customHeight="false" outlineLevel="0" collapsed="false">
      <c r="B86" s="1" t="n">
        <v>-87311</v>
      </c>
      <c r="C86" s="1" t="n">
        <v>-396653</v>
      </c>
    </row>
    <row r="87" customFormat="false" ht="12.8" hidden="false" customHeight="false" outlineLevel="0" collapsed="false">
      <c r="B87" s="1" t="n">
        <v>-87411</v>
      </c>
      <c r="C87" s="1" t="n">
        <v>-396733</v>
      </c>
    </row>
    <row r="88" customFormat="false" ht="12.8" hidden="false" customHeight="false" outlineLevel="0" collapsed="false">
      <c r="B88" s="1" t="n">
        <v>-87437</v>
      </c>
      <c r="C88" s="1" t="n">
        <v>-396485</v>
      </c>
    </row>
    <row r="89" customFormat="false" ht="12.8" hidden="false" customHeight="false" outlineLevel="0" collapsed="false">
      <c r="B89" s="1" t="n">
        <v>-87349</v>
      </c>
      <c r="C89" s="1" t="n">
        <v>-396422</v>
      </c>
    </row>
    <row r="90" customFormat="false" ht="12.8" hidden="false" customHeight="false" outlineLevel="0" collapsed="false">
      <c r="B90" s="1" t="n">
        <v>-87590</v>
      </c>
      <c r="C90" s="1" t="n">
        <v>-396389</v>
      </c>
    </row>
    <row r="91" customFormat="false" ht="12.8" hidden="false" customHeight="false" outlineLevel="0" collapsed="false">
      <c r="B91" s="1" t="n">
        <v>-87518</v>
      </c>
      <c r="C91" s="1" t="n">
        <v>-396753</v>
      </c>
    </row>
    <row r="92" customFormat="false" ht="12.8" hidden="false" customHeight="false" outlineLevel="0" collapsed="false">
      <c r="B92" s="1" t="n">
        <v>-87591</v>
      </c>
      <c r="C92" s="1" t="n">
        <v>-396386</v>
      </c>
    </row>
    <row r="93" customFormat="false" ht="12.8" hidden="false" customHeight="false" outlineLevel="0" collapsed="false">
      <c r="B93" s="1" t="n">
        <v>-87413</v>
      </c>
      <c r="C93" s="1" t="n">
        <v>-396697</v>
      </c>
    </row>
    <row r="94" customFormat="false" ht="12.8" hidden="false" customHeight="false" outlineLevel="0" collapsed="false">
      <c r="B94" s="1" t="n">
        <v>-87342</v>
      </c>
      <c r="C94" s="1" t="n">
        <v>-396276</v>
      </c>
    </row>
    <row r="95" customFormat="false" ht="12.8" hidden="false" customHeight="false" outlineLevel="0" collapsed="false">
      <c r="B95" s="1" t="n">
        <v>-87369</v>
      </c>
      <c r="C95" s="1" t="n">
        <v>-396687</v>
      </c>
    </row>
    <row r="96" customFormat="false" ht="12.8" hidden="false" customHeight="false" outlineLevel="0" collapsed="false">
      <c r="B96" s="1" t="n">
        <v>-87567</v>
      </c>
      <c r="C96" s="1" t="n">
        <v>-396563</v>
      </c>
    </row>
    <row r="97" customFormat="false" ht="12.8" hidden="false" customHeight="false" outlineLevel="0" collapsed="false">
      <c r="B97" s="1" t="n">
        <v>-87481</v>
      </c>
      <c r="C97" s="1" t="n">
        <v>-396754</v>
      </c>
    </row>
    <row r="98" customFormat="false" ht="12.8" hidden="false" customHeight="false" outlineLevel="0" collapsed="false">
      <c r="B98" s="1" t="n">
        <v>-87325</v>
      </c>
      <c r="C98" s="1" t="n">
        <v>-396705</v>
      </c>
    </row>
    <row r="99" customFormat="false" ht="12.8" hidden="false" customHeight="false" outlineLevel="0" collapsed="false">
      <c r="B99" s="1" t="n">
        <v>-87546</v>
      </c>
      <c r="C99" s="1" t="n">
        <v>-396611</v>
      </c>
    </row>
    <row r="100" customFormat="false" ht="12.8" hidden="false" customHeight="false" outlineLevel="0" collapsed="false">
      <c r="B100" s="1" t="n">
        <v>-87396</v>
      </c>
      <c r="C100" s="1" t="n">
        <v>-396785</v>
      </c>
    </row>
    <row r="101" customFormat="false" ht="12.8" hidden="false" customHeight="false" outlineLevel="0" collapsed="false">
      <c r="B101" s="1" t="n">
        <v>-87366</v>
      </c>
      <c r="C101" s="1" t="n">
        <v>-397325</v>
      </c>
    </row>
    <row r="102" customFormat="false" ht="12.8" hidden="false" customHeight="false" outlineLevel="0" collapsed="false">
      <c r="A102" s="1" t="s">
        <v>6</v>
      </c>
      <c r="B102" s="1" t="n">
        <f aca="false">AVERAGE(B3:B101)</f>
        <v>-87437.9595959596</v>
      </c>
      <c r="C102" s="1" t="n">
        <f aca="false">AVERAGE(C3:C101)</f>
        <v>-396671.727272727</v>
      </c>
    </row>
    <row r="103" customFormat="false" ht="12.8" hidden="false" customHeight="false" outlineLevel="0" collapsed="false">
      <c r="B103" s="1" t="n">
        <v>-87433</v>
      </c>
      <c r="C103" s="1" t="n">
        <v>-396362</v>
      </c>
    </row>
    <row r="104" customFormat="false" ht="12.8" hidden="false" customHeight="false" outlineLevel="0" collapsed="false">
      <c r="B104" s="1" t="n">
        <v>-87357</v>
      </c>
      <c r="C104" s="1" t="n">
        <v>-396662</v>
      </c>
    </row>
    <row r="105" customFormat="false" ht="12.8" hidden="false" customHeight="false" outlineLevel="0" collapsed="false">
      <c r="B105" s="1" t="n">
        <v>-87373</v>
      </c>
      <c r="C105" s="1" t="n">
        <v>-396443</v>
      </c>
    </row>
    <row r="106" customFormat="false" ht="12.8" hidden="false" customHeight="false" outlineLevel="0" collapsed="false">
      <c r="B106" s="1" t="n">
        <v>-87298</v>
      </c>
      <c r="C106" s="1" t="n">
        <v>-396621</v>
      </c>
    </row>
    <row r="107" customFormat="false" ht="12.8" hidden="false" customHeight="false" outlineLevel="0" collapsed="false">
      <c r="B107" s="1" t="n">
        <v>-87516</v>
      </c>
      <c r="C107" s="1" t="n">
        <v>-396858</v>
      </c>
    </row>
    <row r="108" customFormat="false" ht="12.8" hidden="false" customHeight="false" outlineLevel="0" collapsed="false">
      <c r="B108" s="1" t="n">
        <v>-87483</v>
      </c>
      <c r="C108" s="1" t="n">
        <v>-396565</v>
      </c>
    </row>
    <row r="109" customFormat="false" ht="12.8" hidden="false" customHeight="false" outlineLevel="0" collapsed="false">
      <c r="B109" s="1" t="n">
        <v>-87230</v>
      </c>
      <c r="C109" s="1" t="n">
        <v>-396203</v>
      </c>
    </row>
    <row r="110" customFormat="false" ht="12.8" hidden="false" customHeight="false" outlineLevel="0" collapsed="false">
      <c r="B110" s="1" t="n">
        <v>-87471</v>
      </c>
      <c r="C110" s="1" t="n">
        <v>-396900</v>
      </c>
    </row>
    <row r="111" customFormat="false" ht="12.8" hidden="false" customHeight="false" outlineLevel="0" collapsed="false">
      <c r="B111" s="1" t="n">
        <v>-87621</v>
      </c>
      <c r="C111" s="1" t="n">
        <v>-396651</v>
      </c>
    </row>
    <row r="112" customFormat="false" ht="12.8" hidden="false" customHeight="false" outlineLevel="0" collapsed="false">
      <c r="B112" s="1" t="n">
        <v>-87381</v>
      </c>
      <c r="C112" s="1" t="n">
        <v>-396661</v>
      </c>
    </row>
    <row r="113" customFormat="false" ht="12.8" hidden="false" customHeight="false" outlineLevel="0" collapsed="false">
      <c r="B113" s="1" t="n">
        <v>-87413</v>
      </c>
      <c r="C113" s="1" t="n">
        <v>-396571</v>
      </c>
    </row>
    <row r="114" customFormat="false" ht="12.8" hidden="false" customHeight="false" outlineLevel="0" collapsed="false">
      <c r="B114" s="1" t="n">
        <v>-87382</v>
      </c>
      <c r="C114" s="1" t="n">
        <v>-396439</v>
      </c>
    </row>
    <row r="115" customFormat="false" ht="12.8" hidden="false" customHeight="false" outlineLevel="0" collapsed="false">
      <c r="B115" s="1" t="n">
        <v>-87426</v>
      </c>
      <c r="C115" s="1" t="n">
        <v>-396520</v>
      </c>
    </row>
    <row r="116" customFormat="false" ht="12.8" hidden="false" customHeight="false" outlineLevel="0" collapsed="false">
      <c r="B116" s="1" t="n">
        <v>-87523</v>
      </c>
      <c r="C116" s="1" t="n">
        <v>-396426</v>
      </c>
    </row>
    <row r="117" customFormat="false" ht="12.8" hidden="false" customHeight="false" outlineLevel="0" collapsed="false">
      <c r="B117" s="1" t="n">
        <v>-87400</v>
      </c>
      <c r="C117" s="1" t="n">
        <v>-396477</v>
      </c>
    </row>
    <row r="118" customFormat="false" ht="12.8" hidden="false" customHeight="false" outlineLevel="0" collapsed="false">
      <c r="B118" s="1" t="n">
        <v>-87302</v>
      </c>
      <c r="C118" s="1" t="n">
        <v>-396536</v>
      </c>
    </row>
    <row r="119" customFormat="false" ht="12.8" hidden="false" customHeight="false" outlineLevel="0" collapsed="false">
      <c r="B119" s="1" t="n">
        <v>-87300</v>
      </c>
      <c r="C119" s="1" t="n">
        <v>-396461</v>
      </c>
    </row>
    <row r="120" customFormat="false" ht="12.8" hidden="false" customHeight="false" outlineLevel="0" collapsed="false">
      <c r="B120" s="1" t="n">
        <v>-87354</v>
      </c>
      <c r="C120" s="1" t="n">
        <v>-396467</v>
      </c>
    </row>
    <row r="121" customFormat="false" ht="12.8" hidden="false" customHeight="false" outlineLevel="0" collapsed="false">
      <c r="B121" s="1" t="n">
        <v>-87468</v>
      </c>
      <c r="C121" s="1" t="n">
        <v>-396678</v>
      </c>
    </row>
    <row r="122" customFormat="false" ht="12.8" hidden="false" customHeight="false" outlineLevel="0" collapsed="false">
      <c r="B122" s="1" t="n">
        <v>-87504</v>
      </c>
      <c r="C122" s="1" t="n">
        <v>-396632</v>
      </c>
    </row>
    <row r="123" customFormat="false" ht="12.8" hidden="false" customHeight="false" outlineLevel="0" collapsed="false">
      <c r="B123" s="1" t="n">
        <v>-87498</v>
      </c>
      <c r="C123" s="1" t="n">
        <v>-396550</v>
      </c>
    </row>
    <row r="124" customFormat="false" ht="12.8" hidden="false" customHeight="false" outlineLevel="0" collapsed="false">
      <c r="B124" s="1" t="n">
        <v>-87394</v>
      </c>
      <c r="C124" s="1" t="n">
        <v>-396502</v>
      </c>
    </row>
    <row r="125" customFormat="false" ht="12.8" hidden="false" customHeight="false" outlineLevel="0" collapsed="false">
      <c r="B125" s="1" t="n">
        <v>-87630</v>
      </c>
      <c r="C125" s="1" t="n">
        <v>-225510</v>
      </c>
    </row>
    <row r="126" customFormat="false" ht="12.8" hidden="false" customHeight="false" outlineLevel="0" collapsed="false">
      <c r="B126" s="1" t="n">
        <v>-87386</v>
      </c>
      <c r="C126" s="1" t="n">
        <v>-225546</v>
      </c>
    </row>
    <row r="127" customFormat="false" ht="12.8" hidden="false" customHeight="false" outlineLevel="0" collapsed="false">
      <c r="B127" s="1" t="n">
        <v>-87476</v>
      </c>
      <c r="C127" s="1" t="n">
        <v>-225692</v>
      </c>
    </row>
    <row r="128" customFormat="false" ht="12.8" hidden="false" customHeight="false" outlineLevel="0" collapsed="false">
      <c r="B128" s="1" t="n">
        <v>-87217</v>
      </c>
      <c r="C128" s="1" t="n">
        <v>-225461</v>
      </c>
    </row>
    <row r="129" customFormat="false" ht="12.8" hidden="false" customHeight="false" outlineLevel="0" collapsed="false">
      <c r="B129" s="1" t="n">
        <v>-87315</v>
      </c>
      <c r="C129" s="1" t="n">
        <v>-234965</v>
      </c>
    </row>
    <row r="130" customFormat="false" ht="12.8" hidden="false" customHeight="false" outlineLevel="0" collapsed="false">
      <c r="B130" s="1" t="n">
        <v>-87403</v>
      </c>
      <c r="C130" s="1" t="n">
        <v>-234898</v>
      </c>
    </row>
    <row r="131" customFormat="false" ht="12.8" hidden="false" customHeight="false" outlineLevel="0" collapsed="false">
      <c r="B131" s="1" t="n">
        <v>-87245</v>
      </c>
      <c r="C131" s="1" t="n">
        <v>-234906</v>
      </c>
    </row>
    <row r="132" customFormat="false" ht="12.8" hidden="false" customHeight="false" outlineLevel="0" collapsed="false">
      <c r="B132" s="1" t="n">
        <v>-87469</v>
      </c>
      <c r="C132" s="1" t="n">
        <v>-234934</v>
      </c>
    </row>
    <row r="133" customFormat="false" ht="12.8" hidden="false" customHeight="false" outlineLevel="0" collapsed="false">
      <c r="B133" s="1" t="n">
        <v>-87529</v>
      </c>
      <c r="C133" s="1" t="n">
        <v>-234986</v>
      </c>
    </row>
    <row r="134" customFormat="false" ht="12.8" hidden="false" customHeight="false" outlineLevel="0" collapsed="false">
      <c r="B134" s="1" t="n">
        <v>-87624</v>
      </c>
      <c r="C134" s="1" t="n">
        <v>-234951</v>
      </c>
    </row>
    <row r="135" customFormat="false" ht="12.8" hidden="false" customHeight="false" outlineLevel="0" collapsed="false">
      <c r="B135" s="1" t="n">
        <v>-87514</v>
      </c>
      <c r="C135" s="1" t="n">
        <v>-234909</v>
      </c>
    </row>
    <row r="136" customFormat="false" ht="12.8" hidden="false" customHeight="false" outlineLevel="0" collapsed="false">
      <c r="B136" s="1" t="n">
        <v>-87405</v>
      </c>
      <c r="C136" s="1" t="n">
        <v>-234925</v>
      </c>
    </row>
    <row r="137" customFormat="false" ht="12.8" hidden="false" customHeight="false" outlineLevel="0" collapsed="false">
      <c r="B137" s="1" t="n">
        <v>-87498</v>
      </c>
      <c r="C137" s="1" t="n">
        <v>-234953</v>
      </c>
    </row>
    <row r="138" customFormat="false" ht="12.8" hidden="false" customHeight="false" outlineLevel="0" collapsed="false">
      <c r="B138" s="1" t="n">
        <v>-87455</v>
      </c>
      <c r="C138" s="1" t="n">
        <v>-234965</v>
      </c>
    </row>
    <row r="139" customFormat="false" ht="12.8" hidden="false" customHeight="false" outlineLevel="0" collapsed="false">
      <c r="B139" s="1" t="n">
        <v>-87545</v>
      </c>
    </row>
    <row r="140" customFormat="false" ht="12.8" hidden="false" customHeight="false" outlineLevel="0" collapsed="false">
      <c r="B140" s="1" t="n">
        <v>-87533</v>
      </c>
    </row>
    <row r="141" customFormat="false" ht="12.8" hidden="false" customHeight="false" outlineLevel="0" collapsed="false">
      <c r="B141" s="1" t="n">
        <v>-87465</v>
      </c>
    </row>
    <row r="142" customFormat="false" ht="12.8" hidden="false" customHeight="false" outlineLevel="0" collapsed="false">
      <c r="B142" s="1" t="n">
        <v>-87394</v>
      </c>
    </row>
    <row r="143" customFormat="false" ht="12.8" hidden="false" customHeight="false" outlineLevel="0" collapsed="false">
      <c r="B143" s="1" t="n">
        <v>-87569</v>
      </c>
    </row>
    <row r="144" customFormat="false" ht="12.8" hidden="false" customHeight="false" outlineLevel="0" collapsed="false">
      <c r="B144" s="1" t="n">
        <v>-87469</v>
      </c>
    </row>
    <row r="145" customFormat="false" ht="12.8" hidden="false" customHeight="false" outlineLevel="0" collapsed="false">
      <c r="B145" s="1" t="n">
        <v>-87386</v>
      </c>
    </row>
    <row r="146" customFormat="false" ht="12.8" hidden="false" customHeight="false" outlineLevel="0" collapsed="false">
      <c r="B146" s="1" t="n">
        <v>-87422</v>
      </c>
    </row>
    <row r="147" customFormat="false" ht="12.8" hidden="false" customHeight="false" outlineLevel="0" collapsed="false">
      <c r="B147" s="1" t="n">
        <v>-87430</v>
      </c>
    </row>
    <row r="148" customFormat="false" ht="12.8" hidden="false" customHeight="false" outlineLevel="0" collapsed="false">
      <c r="B148" s="1" t="n">
        <v>-87541</v>
      </c>
    </row>
    <row r="149" customFormat="false" ht="12.8" hidden="false" customHeight="false" outlineLevel="0" collapsed="false">
      <c r="B149" s="1" t="n">
        <v>-87385</v>
      </c>
    </row>
    <row r="150" customFormat="false" ht="12.8" hidden="false" customHeight="false" outlineLevel="0" collapsed="false">
      <c r="B150" s="1" t="n">
        <v>-87398</v>
      </c>
    </row>
    <row r="151" customFormat="false" ht="12.8" hidden="false" customHeight="false" outlineLevel="0" collapsed="false">
      <c r="B151" s="1" t="n">
        <v>-87495</v>
      </c>
    </row>
    <row r="152" customFormat="false" ht="12.8" hidden="false" customHeight="false" outlineLevel="0" collapsed="false">
      <c r="B152" s="1" t="n">
        <v>-87314</v>
      </c>
    </row>
    <row r="153" customFormat="false" ht="12.8" hidden="false" customHeight="false" outlineLevel="0" collapsed="false">
      <c r="B153" s="1" t="n">
        <v>-87357</v>
      </c>
    </row>
    <row r="154" customFormat="false" ht="12.8" hidden="false" customHeight="false" outlineLevel="0" collapsed="false">
      <c r="B154" s="1" t="n">
        <v>-87271</v>
      </c>
    </row>
    <row r="155" customFormat="false" ht="12.8" hidden="false" customHeight="false" outlineLevel="0" collapsed="false">
      <c r="B155" s="1" t="n">
        <v>-87414</v>
      </c>
    </row>
    <row r="156" customFormat="false" ht="12.8" hidden="false" customHeight="false" outlineLevel="0" collapsed="false">
      <c r="B156" s="1" t="n">
        <v>-87323</v>
      </c>
    </row>
    <row r="157" customFormat="false" ht="12.8" hidden="false" customHeight="false" outlineLevel="0" collapsed="false">
      <c r="B157" s="1" t="n">
        <v>-87390</v>
      </c>
    </row>
    <row r="158" customFormat="false" ht="12.8" hidden="false" customHeight="false" outlineLevel="0" collapsed="false">
      <c r="B158" s="1" t="n">
        <v>-87304</v>
      </c>
    </row>
    <row r="159" customFormat="false" ht="12.8" hidden="false" customHeight="false" outlineLevel="0" collapsed="false">
      <c r="B159" s="1" t="n">
        <v>-87436</v>
      </c>
    </row>
    <row r="160" customFormat="false" ht="12.8" hidden="false" customHeight="false" outlineLevel="0" collapsed="false">
      <c r="B160" s="1" t="n">
        <v>-87258</v>
      </c>
    </row>
    <row r="161" customFormat="false" ht="12.8" hidden="false" customHeight="false" outlineLevel="0" collapsed="false">
      <c r="B161" s="1" t="n">
        <v>-87350</v>
      </c>
    </row>
    <row r="162" customFormat="false" ht="12.8" hidden="false" customHeight="false" outlineLevel="0" collapsed="false">
      <c r="B162" s="1" t="n">
        <v>-87675</v>
      </c>
    </row>
    <row r="163" customFormat="false" ht="12.8" hidden="false" customHeight="false" outlineLevel="0" collapsed="false">
      <c r="B163" s="1" t="n">
        <v>-87318</v>
      </c>
    </row>
    <row r="164" customFormat="false" ht="12.8" hidden="false" customHeight="false" outlineLevel="0" collapsed="false">
      <c r="B164" s="1" t="n">
        <v>-87472</v>
      </c>
    </row>
    <row r="165" customFormat="false" ht="12.8" hidden="false" customHeight="false" outlineLevel="0" collapsed="false">
      <c r="B165" s="1" t="n">
        <v>-87441</v>
      </c>
    </row>
    <row r="166" customFormat="false" ht="12.8" hidden="false" customHeight="false" outlineLevel="0" collapsed="false">
      <c r="B166" s="1" t="n">
        <v>-87480</v>
      </c>
    </row>
    <row r="167" customFormat="false" ht="12.8" hidden="false" customHeight="false" outlineLevel="0" collapsed="false">
      <c r="B167" s="1" t="n">
        <v>-87542</v>
      </c>
    </row>
    <row r="168" customFormat="false" ht="12.8" hidden="false" customHeight="false" outlineLevel="0" collapsed="false">
      <c r="B168" s="1" t="n">
        <v>-87335</v>
      </c>
    </row>
    <row r="169" customFormat="false" ht="12.8" hidden="false" customHeight="false" outlineLevel="0" collapsed="false">
      <c r="B169" s="1" t="n">
        <v>-87427</v>
      </c>
    </row>
    <row r="170" customFormat="false" ht="12.8" hidden="false" customHeight="false" outlineLevel="0" collapsed="false">
      <c r="B170" s="1" t="n">
        <v>-87424</v>
      </c>
    </row>
    <row r="171" customFormat="false" ht="12.8" hidden="false" customHeight="false" outlineLevel="0" collapsed="false">
      <c r="B171" s="1" t="n">
        <v>-87393</v>
      </c>
    </row>
    <row r="172" customFormat="false" ht="12.8" hidden="false" customHeight="false" outlineLevel="0" collapsed="false">
      <c r="B172" s="1" t="n">
        <v>-87492</v>
      </c>
    </row>
    <row r="173" customFormat="false" ht="12.8" hidden="false" customHeight="false" outlineLevel="0" collapsed="false">
      <c r="B173" s="1" t="n">
        <v>-87478</v>
      </c>
    </row>
    <row r="174" customFormat="false" ht="12.8" hidden="false" customHeight="false" outlineLevel="0" collapsed="false">
      <c r="B174" s="1" t="n">
        <v>-87480</v>
      </c>
    </row>
    <row r="175" customFormat="false" ht="12.8" hidden="false" customHeight="false" outlineLevel="0" collapsed="false">
      <c r="B175" s="1" t="n">
        <v>-87470</v>
      </c>
    </row>
    <row r="176" customFormat="false" ht="12.8" hidden="false" customHeight="false" outlineLevel="0" collapsed="false">
      <c r="B176" s="1" t="n">
        <v>-87340</v>
      </c>
    </row>
    <row r="177" customFormat="false" ht="12.8" hidden="false" customHeight="false" outlineLevel="0" collapsed="false">
      <c r="B177" s="1" t="n">
        <v>-87464</v>
      </c>
    </row>
    <row r="178" customFormat="false" ht="12.8" hidden="false" customHeight="false" outlineLevel="0" collapsed="false">
      <c r="B178" s="1" t="n">
        <v>-87363</v>
      </c>
    </row>
    <row r="179" customFormat="false" ht="12.8" hidden="false" customHeight="false" outlineLevel="0" collapsed="false">
      <c r="B179" s="1" t="n">
        <v>-87414</v>
      </c>
    </row>
    <row r="180" customFormat="false" ht="12.8" hidden="false" customHeight="false" outlineLevel="0" collapsed="false">
      <c r="B180" s="1" t="n">
        <v>-87465</v>
      </c>
    </row>
    <row r="181" customFormat="false" ht="12.8" hidden="false" customHeight="false" outlineLevel="0" collapsed="false">
      <c r="B181" s="1" t="n">
        <v>-87395</v>
      </c>
    </row>
    <row r="182" customFormat="false" ht="12.8" hidden="false" customHeight="false" outlineLevel="0" collapsed="false">
      <c r="B182" s="1" t="n">
        <v>-87440</v>
      </c>
    </row>
    <row r="183" customFormat="false" ht="12.8" hidden="false" customHeight="false" outlineLevel="0" collapsed="false">
      <c r="B183" s="1" t="n">
        <v>88236</v>
      </c>
    </row>
    <row r="184" customFormat="false" ht="12.8" hidden="false" customHeight="false" outlineLevel="0" collapsed="false">
      <c r="B184" s="1" t="n">
        <v>88215</v>
      </c>
    </row>
    <row r="185" customFormat="false" ht="12.8" hidden="false" customHeight="false" outlineLevel="0" collapsed="false">
      <c r="B185" s="1" t="n">
        <v>88259</v>
      </c>
    </row>
    <row r="186" customFormat="false" ht="12.8" hidden="false" customHeight="false" outlineLevel="0" collapsed="false">
      <c r="B186" s="1" t="n">
        <v>88159</v>
      </c>
    </row>
    <row r="187" customFormat="false" ht="12.8" hidden="false" customHeight="false" outlineLevel="0" collapsed="false">
      <c r="B187" s="1" t="n">
        <v>88387</v>
      </c>
    </row>
    <row r="188" customFormat="false" ht="12.8" hidden="false" customHeight="false" outlineLevel="0" collapsed="false">
      <c r="B188" s="1" t="n">
        <v>88391</v>
      </c>
    </row>
    <row r="189" customFormat="false" ht="12.8" hidden="false" customHeight="false" outlineLevel="0" collapsed="false">
      <c r="B189" s="1" t="n">
        <v>88306</v>
      </c>
    </row>
    <row r="190" customFormat="false" ht="12.8" hidden="false" customHeight="false" outlineLevel="0" collapsed="false">
      <c r="B190" s="1" t="n">
        <v>88148</v>
      </c>
    </row>
    <row r="191" customFormat="false" ht="12.8" hidden="false" customHeight="false" outlineLevel="0" collapsed="false">
      <c r="B191" s="1" t="n">
        <v>88202</v>
      </c>
    </row>
    <row r="192" customFormat="false" ht="12.8" hidden="false" customHeight="false" outlineLevel="0" collapsed="false">
      <c r="B192" s="1" t="n">
        <v>88281</v>
      </c>
    </row>
    <row r="193" customFormat="false" ht="12.8" hidden="false" customHeight="false" outlineLevel="0" collapsed="false">
      <c r="B193" s="1" t="n">
        <v>88222</v>
      </c>
    </row>
    <row r="194" customFormat="false" ht="12.8" hidden="false" customHeight="false" outlineLevel="0" collapsed="false">
      <c r="B194" s="1" t="n">
        <v>88344</v>
      </c>
    </row>
    <row r="195" customFormat="false" ht="12.8" hidden="false" customHeight="false" outlineLevel="0" collapsed="false">
      <c r="B195" s="1" t="n">
        <v>88485</v>
      </c>
    </row>
    <row r="196" customFormat="false" ht="12.8" hidden="false" customHeight="false" outlineLevel="0" collapsed="false">
      <c r="B196" s="1" t="n">
        <v>88456</v>
      </c>
    </row>
    <row r="197" customFormat="false" ht="12.8" hidden="false" customHeight="false" outlineLevel="0" collapsed="false">
      <c r="B197" s="1" t="n">
        <v>88286</v>
      </c>
    </row>
    <row r="198" customFormat="false" ht="12.8" hidden="false" customHeight="false" outlineLevel="0" collapsed="false">
      <c r="B198" s="1" t="n">
        <v>88400</v>
      </c>
    </row>
    <row r="199" customFormat="false" ht="12.8" hidden="false" customHeight="false" outlineLevel="0" collapsed="false">
      <c r="B199" s="1" t="n">
        <v>88594</v>
      </c>
    </row>
    <row r="200" customFormat="false" ht="12.8" hidden="false" customHeight="false" outlineLevel="0" collapsed="false">
      <c r="B200" s="1" t="n">
        <v>88408</v>
      </c>
    </row>
    <row r="201" customFormat="false" ht="12.8" hidden="false" customHeight="false" outlineLevel="0" collapsed="false">
      <c r="B201" s="1" t="n">
        <v>88610</v>
      </c>
    </row>
    <row r="202" customFormat="false" ht="12.8" hidden="false" customHeight="false" outlineLevel="0" collapsed="false">
      <c r="B202" s="1" t="n">
        <v>88559</v>
      </c>
    </row>
    <row r="203" customFormat="false" ht="12.8" hidden="false" customHeight="false" outlineLevel="0" collapsed="false">
      <c r="B203" s="1" t="n">
        <v>88798</v>
      </c>
    </row>
    <row r="204" customFormat="false" ht="12.8" hidden="false" customHeight="false" outlineLevel="0" collapsed="false">
      <c r="B204" s="1" t="n">
        <v>88602</v>
      </c>
    </row>
    <row r="205" customFormat="false" ht="12.8" hidden="false" customHeight="false" outlineLevel="0" collapsed="false">
      <c r="B205" s="1" t="n">
        <v>88704</v>
      </c>
    </row>
    <row r="206" customFormat="false" ht="12.8" hidden="false" customHeight="false" outlineLevel="0" collapsed="false">
      <c r="B206" s="1" t="n">
        <v>88695</v>
      </c>
    </row>
    <row r="207" customFormat="false" ht="12.8" hidden="false" customHeight="false" outlineLevel="0" collapsed="false">
      <c r="B207" s="1" t="n">
        <v>88849</v>
      </c>
    </row>
    <row r="208" customFormat="false" ht="12.8" hidden="false" customHeight="false" outlineLevel="0" collapsed="false">
      <c r="B208" s="1" t="n">
        <v>88761</v>
      </c>
    </row>
    <row r="209" customFormat="false" ht="12.8" hidden="false" customHeight="false" outlineLevel="0" collapsed="false">
      <c r="B209" s="1" t="n">
        <v>88979</v>
      </c>
    </row>
    <row r="210" customFormat="false" ht="12.8" hidden="false" customHeight="false" outlineLevel="0" collapsed="false">
      <c r="B210" s="1" t="n">
        <v>88846</v>
      </c>
    </row>
    <row r="211" customFormat="false" ht="12.8" hidden="false" customHeight="false" outlineLevel="0" collapsed="false">
      <c r="B211" s="1" t="n">
        <v>88885</v>
      </c>
    </row>
    <row r="212" customFormat="false" ht="12.8" hidden="false" customHeight="false" outlineLevel="0" collapsed="false">
      <c r="B212" s="1" t="n">
        <v>88882</v>
      </c>
    </row>
    <row r="213" customFormat="false" ht="12.8" hidden="false" customHeight="false" outlineLevel="0" collapsed="false">
      <c r="B213" s="1" t="n">
        <v>88810</v>
      </c>
    </row>
    <row r="214" customFormat="false" ht="12.8" hidden="false" customHeight="false" outlineLevel="0" collapsed="false">
      <c r="B214" s="1" t="n">
        <v>88771</v>
      </c>
    </row>
    <row r="215" customFormat="false" ht="12.8" hidden="false" customHeight="false" outlineLevel="0" collapsed="false">
      <c r="B215" s="1" t="n">
        <v>88604</v>
      </c>
    </row>
    <row r="216" customFormat="false" ht="12.8" hidden="false" customHeight="false" outlineLevel="0" collapsed="false">
      <c r="B216" s="1" t="n">
        <v>88719</v>
      </c>
    </row>
    <row r="217" customFormat="false" ht="12.8" hidden="false" customHeight="false" outlineLevel="0" collapsed="false">
      <c r="B217" s="1" t="n">
        <v>88501</v>
      </c>
    </row>
    <row r="218" customFormat="false" ht="12.8" hidden="false" customHeight="false" outlineLevel="0" collapsed="false">
      <c r="B218" s="1" t="n">
        <v>88825</v>
      </c>
    </row>
    <row r="219" customFormat="false" ht="12.8" hidden="false" customHeight="false" outlineLevel="0" collapsed="false">
      <c r="B219" s="1" t="n">
        <v>88740</v>
      </c>
    </row>
    <row r="220" customFormat="false" ht="12.8" hidden="false" customHeight="false" outlineLevel="0" collapsed="false">
      <c r="B220" s="1" t="n">
        <v>88716</v>
      </c>
    </row>
    <row r="221" customFormat="false" ht="12.8" hidden="false" customHeight="false" outlineLevel="0" collapsed="false">
      <c r="B221" s="1" t="n">
        <v>88753</v>
      </c>
    </row>
    <row r="222" customFormat="false" ht="12.8" hidden="false" customHeight="false" outlineLevel="0" collapsed="false">
      <c r="B222" s="1" t="n">
        <v>88735</v>
      </c>
    </row>
    <row r="223" customFormat="false" ht="12.8" hidden="false" customHeight="false" outlineLevel="0" collapsed="false">
      <c r="B223" s="1" t="n">
        <v>88642</v>
      </c>
    </row>
    <row r="224" customFormat="false" ht="12.8" hidden="false" customHeight="false" outlineLevel="0" collapsed="false">
      <c r="B224" s="1" t="n">
        <v>88779</v>
      </c>
    </row>
    <row r="225" customFormat="false" ht="12.8" hidden="false" customHeight="false" outlineLevel="0" collapsed="false">
      <c r="B225" s="1" t="n">
        <v>88791</v>
      </c>
    </row>
    <row r="226" customFormat="false" ht="12.8" hidden="false" customHeight="false" outlineLevel="0" collapsed="false">
      <c r="B226" s="1" t="n">
        <v>88603</v>
      </c>
    </row>
    <row r="227" customFormat="false" ht="12.8" hidden="false" customHeight="false" outlineLevel="0" collapsed="false">
      <c r="B227" s="1" t="n">
        <v>88654</v>
      </c>
    </row>
    <row r="228" customFormat="false" ht="12.8" hidden="false" customHeight="false" outlineLevel="0" collapsed="false">
      <c r="B228" s="1" t="n">
        <v>88586</v>
      </c>
    </row>
    <row r="229" customFormat="false" ht="12.8" hidden="false" customHeight="false" outlineLevel="0" collapsed="false">
      <c r="B229" s="1" t="n">
        <v>88563</v>
      </c>
    </row>
    <row r="230" customFormat="false" ht="12.8" hidden="false" customHeight="false" outlineLevel="0" collapsed="false">
      <c r="B230" s="1" t="n">
        <v>88660</v>
      </c>
    </row>
    <row r="231" customFormat="false" ht="12.8" hidden="false" customHeight="false" outlineLevel="0" collapsed="false">
      <c r="B231" s="1" t="n">
        <v>88009</v>
      </c>
    </row>
    <row r="232" customFormat="false" ht="12.8" hidden="false" customHeight="false" outlineLevel="0" collapsed="false">
      <c r="B232" s="1" t="n">
        <v>88013</v>
      </c>
    </row>
    <row r="233" customFormat="false" ht="12.8" hidden="false" customHeight="false" outlineLevel="0" collapsed="false">
      <c r="B233" s="1" t="n">
        <v>87842</v>
      </c>
    </row>
    <row r="234" customFormat="false" ht="12.8" hidden="false" customHeight="false" outlineLevel="0" collapsed="false">
      <c r="B234" s="1" t="n">
        <v>87928</v>
      </c>
    </row>
    <row r="235" customFormat="false" ht="12.8" hidden="false" customHeight="false" outlineLevel="0" collapsed="false">
      <c r="B235" s="1" t="n">
        <v>87966</v>
      </c>
    </row>
    <row r="236" customFormat="false" ht="12.8" hidden="false" customHeight="false" outlineLevel="0" collapsed="false">
      <c r="B236" s="1" t="n">
        <v>88044</v>
      </c>
    </row>
    <row r="237" customFormat="false" ht="12.8" hidden="false" customHeight="false" outlineLevel="0" collapsed="false">
      <c r="B237" s="1" t="n">
        <v>88109</v>
      </c>
    </row>
    <row r="238" customFormat="false" ht="12.8" hidden="false" customHeight="false" outlineLevel="0" collapsed="false">
      <c r="B238" s="1" t="n">
        <v>87968</v>
      </c>
    </row>
    <row r="239" customFormat="false" ht="12.8" hidden="false" customHeight="false" outlineLevel="0" collapsed="false">
      <c r="B239" s="1" t="n">
        <v>87890</v>
      </c>
    </row>
    <row r="240" customFormat="false" ht="12.8" hidden="false" customHeight="false" outlineLevel="0" collapsed="false">
      <c r="B240" s="1" t="n">
        <v>88184</v>
      </c>
    </row>
    <row r="241" customFormat="false" ht="12.8" hidden="false" customHeight="false" outlineLevel="0" collapsed="false">
      <c r="B241" s="1" t="n">
        <v>88217</v>
      </c>
    </row>
    <row r="242" customFormat="false" ht="12.8" hidden="false" customHeight="false" outlineLevel="0" collapsed="false">
      <c r="B242" s="1" t="n">
        <v>88236</v>
      </c>
    </row>
    <row r="243" customFormat="false" ht="12.8" hidden="false" customHeight="false" outlineLevel="0" collapsed="false">
      <c r="B243" s="1" t="n">
        <v>88277</v>
      </c>
    </row>
    <row r="244" customFormat="false" ht="12.8" hidden="false" customHeight="false" outlineLevel="0" collapsed="false">
      <c r="B244" s="1" t="n">
        <v>88180</v>
      </c>
    </row>
    <row r="245" customFormat="false" ht="12.8" hidden="false" customHeight="false" outlineLevel="0" collapsed="false">
      <c r="B245" s="1" t="n">
        <v>88472</v>
      </c>
    </row>
    <row r="246" customFormat="false" ht="12.8" hidden="false" customHeight="false" outlineLevel="0" collapsed="false">
      <c r="B246" s="1" t="n">
        <v>88399</v>
      </c>
    </row>
    <row r="247" customFormat="false" ht="12.8" hidden="false" customHeight="false" outlineLevel="0" collapsed="false">
      <c r="B247" s="1" t="n">
        <v>88164</v>
      </c>
    </row>
    <row r="248" customFormat="false" ht="12.8" hidden="false" customHeight="false" outlineLevel="0" collapsed="false">
      <c r="B248" s="1" t="n">
        <v>88318</v>
      </c>
    </row>
    <row r="249" customFormat="false" ht="12.8" hidden="false" customHeight="false" outlineLevel="0" collapsed="false">
      <c r="B249" s="1" t="n">
        <v>88455</v>
      </c>
    </row>
    <row r="250" customFormat="false" ht="12.8" hidden="false" customHeight="false" outlineLevel="0" collapsed="false">
      <c r="B250" s="1" t="n">
        <v>80545</v>
      </c>
    </row>
    <row r="251" customFormat="false" ht="12.8" hidden="false" customHeight="false" outlineLevel="0" collapsed="false">
      <c r="B251" s="1" t="n">
        <v>80545</v>
      </c>
    </row>
    <row r="252" customFormat="false" ht="12.8" hidden="false" customHeight="false" outlineLevel="0" collapsed="false">
      <c r="B252" s="1" t="n">
        <v>80541</v>
      </c>
    </row>
    <row r="253" customFormat="false" ht="12.8" hidden="false" customHeight="false" outlineLevel="0" collapsed="false">
      <c r="B253" s="1" t="n">
        <v>80515</v>
      </c>
    </row>
    <row r="254" customFormat="false" ht="12.8" hidden="false" customHeight="false" outlineLevel="0" collapsed="false">
      <c r="B254" s="1" t="n">
        <v>80507</v>
      </c>
    </row>
    <row r="255" customFormat="false" ht="12.8" hidden="false" customHeight="false" outlineLevel="0" collapsed="false">
      <c r="B255" s="1" t="n">
        <v>80517</v>
      </c>
    </row>
    <row r="256" customFormat="false" ht="12.8" hidden="false" customHeight="false" outlineLevel="0" collapsed="false">
      <c r="B256" s="1" t="n">
        <v>80494</v>
      </c>
    </row>
    <row r="257" customFormat="false" ht="12.8" hidden="false" customHeight="false" outlineLevel="0" collapsed="false">
      <c r="B257" s="1" t="n">
        <v>80502</v>
      </c>
    </row>
    <row r="258" customFormat="false" ht="12.8" hidden="false" customHeight="false" outlineLevel="0" collapsed="false">
      <c r="B258" s="1" t="n">
        <v>80509</v>
      </c>
    </row>
    <row r="259" customFormat="false" ht="12.8" hidden="false" customHeight="false" outlineLevel="0" collapsed="false">
      <c r="B259" s="1" t="n">
        <v>80507</v>
      </c>
    </row>
    <row r="260" customFormat="false" ht="12.8" hidden="false" customHeight="false" outlineLevel="0" collapsed="false">
      <c r="B260" s="1" t="n">
        <v>80580</v>
      </c>
    </row>
    <row r="261" customFormat="false" ht="12.8" hidden="false" customHeight="false" outlineLevel="0" collapsed="false">
      <c r="B261" s="1" t="n">
        <v>80587</v>
      </c>
    </row>
    <row r="262" customFormat="false" ht="12.8" hidden="false" customHeight="false" outlineLevel="0" collapsed="false">
      <c r="B262" s="1" t="n">
        <v>80554</v>
      </c>
    </row>
    <row r="263" customFormat="false" ht="12.8" hidden="false" customHeight="false" outlineLevel="0" collapsed="false">
      <c r="B263" s="1" t="n">
        <v>80522</v>
      </c>
    </row>
    <row r="264" customFormat="false" ht="12.8" hidden="false" customHeight="false" outlineLevel="0" collapsed="false">
      <c r="B264" s="1" t="n">
        <v>80535</v>
      </c>
    </row>
    <row r="265" customFormat="false" ht="12.8" hidden="false" customHeight="false" outlineLevel="0" collapsed="false">
      <c r="B265" s="1" t="n">
        <v>80453</v>
      </c>
    </row>
    <row r="266" customFormat="false" ht="12.8" hidden="false" customHeight="false" outlineLevel="0" collapsed="false">
      <c r="B266" s="1" t="n">
        <v>80410</v>
      </c>
    </row>
    <row r="267" customFormat="false" ht="12.8" hidden="false" customHeight="false" outlineLevel="0" collapsed="false">
      <c r="B267" s="1" t="n">
        <v>80461</v>
      </c>
    </row>
    <row r="268" customFormat="false" ht="12.8" hidden="false" customHeight="false" outlineLevel="0" collapsed="false">
      <c r="B268" s="1" t="n">
        <v>80451</v>
      </c>
    </row>
    <row r="269" customFormat="false" ht="12.8" hidden="false" customHeight="false" outlineLevel="0" collapsed="false">
      <c r="B269" s="1" t="n">
        <v>80404</v>
      </c>
    </row>
    <row r="270" customFormat="false" ht="12.8" hidden="false" customHeight="false" outlineLevel="0" collapsed="false">
      <c r="B270" s="1" t="n">
        <v>80438</v>
      </c>
    </row>
    <row r="271" customFormat="false" ht="12.8" hidden="false" customHeight="false" outlineLevel="0" collapsed="false">
      <c r="B271" s="1" t="n">
        <v>80468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2.8" hidden="false" customHeight="false" outlineLevel="0" collapsed="false">
      <c r="B1" s="2" t="s">
        <v>0</v>
      </c>
      <c r="C1" s="2" t="s">
        <v>1</v>
      </c>
    </row>
    <row r="2" customFormat="false" ht="12.8" hidden="false" customHeight="false" outlineLevel="0" collapsed="false">
      <c r="B2" s="2" t="s">
        <v>2</v>
      </c>
      <c r="C2" s="2" t="s">
        <v>3</v>
      </c>
    </row>
    <row r="3" customFormat="false" ht="12.8" hidden="false" customHeight="false" outlineLevel="0" collapsed="false">
      <c r="B3" s="1" t="n">
        <v>237894</v>
      </c>
      <c r="C3" s="2" t="n">
        <v>555240</v>
      </c>
    </row>
    <row r="4" customFormat="false" ht="12.8" hidden="false" customHeight="false" outlineLevel="0" collapsed="false">
      <c r="B4" s="2" t="n">
        <v>237912</v>
      </c>
      <c r="C4" s="2" t="n">
        <v>555205</v>
      </c>
    </row>
    <row r="5" customFormat="false" ht="12.8" hidden="false" customHeight="false" outlineLevel="0" collapsed="false">
      <c r="B5" s="2" t="n">
        <v>237869</v>
      </c>
      <c r="C5" s="2" t="n">
        <v>555219</v>
      </c>
      <c r="F5" s="1" t="n">
        <v>0</v>
      </c>
      <c r="G5" s="1" t="n">
        <f aca="false">$B$102</f>
        <v>237910</v>
      </c>
      <c r="J5" s="1" t="s">
        <v>4</v>
      </c>
      <c r="K5" s="1" t="n">
        <f aca="false">(G5-G6)/(F5-F6)</f>
        <v>-3172.94606060606</v>
      </c>
    </row>
    <row r="6" customFormat="false" ht="12.8" hidden="false" customHeight="false" outlineLevel="0" collapsed="false">
      <c r="B6" s="2" t="n">
        <v>237834</v>
      </c>
      <c r="C6" s="2" t="n">
        <v>555269</v>
      </c>
      <c r="F6" s="1" t="n">
        <v>-100</v>
      </c>
      <c r="G6" s="1" t="n">
        <f aca="false">$C$102</f>
        <v>555204.606060606</v>
      </c>
      <c r="J6" s="1" t="s">
        <v>5</v>
      </c>
      <c r="K6" s="1" t="n">
        <f aca="false">G5/K5</f>
        <v>-74.980789290366</v>
      </c>
    </row>
    <row r="7" customFormat="false" ht="12.8" hidden="false" customHeight="false" outlineLevel="0" collapsed="false">
      <c r="B7" s="2" t="n">
        <v>237862</v>
      </c>
      <c r="C7" s="2" t="n">
        <v>555228</v>
      </c>
    </row>
    <row r="8" customFormat="false" ht="12.8" hidden="false" customHeight="false" outlineLevel="0" collapsed="false">
      <c r="B8" s="2" t="n">
        <v>237872</v>
      </c>
      <c r="C8" s="2" t="n">
        <v>555191</v>
      </c>
    </row>
    <row r="9" customFormat="false" ht="12.8" hidden="false" customHeight="false" outlineLevel="0" collapsed="false">
      <c r="B9" s="2" t="n">
        <v>237855</v>
      </c>
      <c r="C9" s="2" t="n">
        <v>555190</v>
      </c>
    </row>
    <row r="10" customFormat="false" ht="12.8" hidden="false" customHeight="false" outlineLevel="0" collapsed="false">
      <c r="B10" s="2" t="n">
        <v>237924</v>
      </c>
      <c r="C10" s="2" t="n">
        <v>555179</v>
      </c>
    </row>
    <row r="11" customFormat="false" ht="12.8" hidden="false" customHeight="false" outlineLevel="0" collapsed="false">
      <c r="B11" s="2" t="n">
        <v>237896</v>
      </c>
      <c r="C11" s="2" t="n">
        <v>555192</v>
      </c>
    </row>
    <row r="12" customFormat="false" ht="12.8" hidden="false" customHeight="false" outlineLevel="0" collapsed="false">
      <c r="B12" s="2" t="n">
        <v>237876</v>
      </c>
      <c r="C12" s="2" t="n">
        <v>555177</v>
      </c>
    </row>
    <row r="13" customFormat="false" ht="12.8" hidden="false" customHeight="false" outlineLevel="0" collapsed="false">
      <c r="B13" s="2" t="n">
        <v>237901</v>
      </c>
      <c r="C13" s="2" t="n">
        <v>555238</v>
      </c>
    </row>
    <row r="14" customFormat="false" ht="12.8" hidden="false" customHeight="false" outlineLevel="0" collapsed="false">
      <c r="B14" s="2" t="n">
        <v>237918</v>
      </c>
      <c r="C14" s="2" t="n">
        <v>555209</v>
      </c>
    </row>
    <row r="15" customFormat="false" ht="12.8" hidden="false" customHeight="false" outlineLevel="0" collapsed="false">
      <c r="B15" s="2" t="n">
        <v>237909</v>
      </c>
      <c r="C15" s="2" t="n">
        <v>555219</v>
      </c>
    </row>
    <row r="16" customFormat="false" ht="12.8" hidden="false" customHeight="false" outlineLevel="0" collapsed="false">
      <c r="B16" s="2" t="n">
        <v>237864</v>
      </c>
      <c r="C16" s="2" t="n">
        <v>555209</v>
      </c>
      <c r="M16" s="1" t="n">
        <v>2812092</v>
      </c>
    </row>
    <row r="17" customFormat="false" ht="12.8" hidden="false" customHeight="false" outlineLevel="0" collapsed="false">
      <c r="B17" s="2" t="n">
        <v>237921</v>
      </c>
      <c r="C17" s="2" t="n">
        <v>555189</v>
      </c>
    </row>
    <row r="18" customFormat="false" ht="12.8" hidden="false" customHeight="false" outlineLevel="0" collapsed="false">
      <c r="B18" s="2" t="n">
        <v>237932</v>
      </c>
      <c r="C18" s="2" t="n">
        <v>555211</v>
      </c>
    </row>
    <row r="19" customFormat="false" ht="12.8" hidden="false" customHeight="false" outlineLevel="0" collapsed="false">
      <c r="B19" s="2" t="n">
        <v>237901</v>
      </c>
      <c r="C19" s="2" t="n">
        <v>555185</v>
      </c>
    </row>
    <row r="20" customFormat="false" ht="12.8" hidden="false" customHeight="false" outlineLevel="0" collapsed="false">
      <c r="B20" s="2" t="n">
        <v>237897</v>
      </c>
      <c r="C20" s="2" t="n">
        <v>555189</v>
      </c>
    </row>
    <row r="21" customFormat="false" ht="12.8" hidden="false" customHeight="false" outlineLevel="0" collapsed="false">
      <c r="B21" s="2" t="n">
        <v>237911</v>
      </c>
      <c r="C21" s="2" t="n">
        <v>555239</v>
      </c>
    </row>
    <row r="22" customFormat="false" ht="12.8" hidden="false" customHeight="false" outlineLevel="0" collapsed="false">
      <c r="B22" s="2" t="n">
        <v>237920</v>
      </c>
      <c r="C22" s="2" t="n">
        <v>555230</v>
      </c>
    </row>
    <row r="23" customFormat="false" ht="12.8" hidden="false" customHeight="false" outlineLevel="0" collapsed="false">
      <c r="B23" s="2" t="n">
        <v>237942</v>
      </c>
      <c r="C23" s="2" t="n">
        <v>555251</v>
      </c>
    </row>
    <row r="24" customFormat="false" ht="12.8" hidden="false" customHeight="false" outlineLevel="0" collapsed="false">
      <c r="B24" s="2" t="n">
        <v>237946</v>
      </c>
      <c r="C24" s="2" t="n">
        <v>555216</v>
      </c>
    </row>
    <row r="25" customFormat="false" ht="12.8" hidden="false" customHeight="false" outlineLevel="0" collapsed="false">
      <c r="B25" s="2" t="n">
        <v>237943</v>
      </c>
      <c r="C25" s="2" t="n">
        <v>555220</v>
      </c>
    </row>
    <row r="26" customFormat="false" ht="12.8" hidden="false" customHeight="false" outlineLevel="0" collapsed="false">
      <c r="B26" s="2" t="n">
        <v>237953</v>
      </c>
      <c r="C26" s="2" t="n">
        <v>555217</v>
      </c>
    </row>
    <row r="27" customFormat="false" ht="12.8" hidden="false" customHeight="false" outlineLevel="0" collapsed="false">
      <c r="B27" s="2" t="n">
        <v>237927</v>
      </c>
      <c r="C27" s="2" t="n">
        <v>555200</v>
      </c>
    </row>
    <row r="28" customFormat="false" ht="12.8" hidden="false" customHeight="false" outlineLevel="0" collapsed="false">
      <c r="B28" s="2" t="n">
        <v>237883</v>
      </c>
      <c r="C28" s="2" t="n">
        <v>555211</v>
      </c>
    </row>
    <row r="29" customFormat="false" ht="12.8" hidden="false" customHeight="false" outlineLevel="0" collapsed="false">
      <c r="B29" s="2" t="n">
        <v>237876</v>
      </c>
      <c r="C29" s="2" t="n">
        <v>555267</v>
      </c>
    </row>
    <row r="30" customFormat="false" ht="12.8" hidden="false" customHeight="false" outlineLevel="0" collapsed="false">
      <c r="B30" s="2" t="n">
        <v>237911</v>
      </c>
      <c r="C30" s="2" t="n">
        <v>555235</v>
      </c>
    </row>
    <row r="31" customFormat="false" ht="12.8" hidden="false" customHeight="false" outlineLevel="0" collapsed="false">
      <c r="B31" s="2" t="n">
        <v>237927</v>
      </c>
      <c r="C31" s="2" t="n">
        <v>555221</v>
      </c>
    </row>
    <row r="32" customFormat="false" ht="12.8" hidden="false" customHeight="false" outlineLevel="0" collapsed="false">
      <c r="B32" s="2" t="n">
        <v>237923</v>
      </c>
      <c r="C32" s="2" t="n">
        <v>555214</v>
      </c>
    </row>
    <row r="33" customFormat="false" ht="12.8" hidden="false" customHeight="false" outlineLevel="0" collapsed="false">
      <c r="B33" s="2" t="n">
        <v>237988</v>
      </c>
      <c r="C33" s="2" t="n">
        <v>555190</v>
      </c>
    </row>
    <row r="34" customFormat="false" ht="12.8" hidden="false" customHeight="false" outlineLevel="0" collapsed="false">
      <c r="B34" s="2" t="n">
        <v>237962</v>
      </c>
      <c r="C34" s="2" t="n">
        <v>555180</v>
      </c>
    </row>
    <row r="35" customFormat="false" ht="12.8" hidden="false" customHeight="false" outlineLevel="0" collapsed="false">
      <c r="B35" s="2" t="n">
        <v>237901</v>
      </c>
      <c r="C35" s="2" t="n">
        <v>555179</v>
      </c>
    </row>
    <row r="36" customFormat="false" ht="12.8" hidden="false" customHeight="false" outlineLevel="0" collapsed="false">
      <c r="B36" s="2" t="n">
        <v>237892</v>
      </c>
      <c r="C36" s="2" t="n">
        <v>555237</v>
      </c>
    </row>
    <row r="37" customFormat="false" ht="12.8" hidden="false" customHeight="false" outlineLevel="0" collapsed="false">
      <c r="B37" s="2" t="n">
        <v>237943</v>
      </c>
      <c r="C37" s="2" t="n">
        <v>555202</v>
      </c>
    </row>
    <row r="38" customFormat="false" ht="12.8" hidden="false" customHeight="false" outlineLevel="0" collapsed="false">
      <c r="B38" s="2" t="n">
        <v>237913</v>
      </c>
      <c r="C38" s="2" t="n">
        <v>555163</v>
      </c>
    </row>
    <row r="39" customFormat="false" ht="12.8" hidden="false" customHeight="false" outlineLevel="0" collapsed="false">
      <c r="B39" s="2" t="n">
        <v>237870</v>
      </c>
      <c r="C39" s="2" t="n">
        <v>555206</v>
      </c>
    </row>
    <row r="40" customFormat="false" ht="12.8" hidden="false" customHeight="false" outlineLevel="0" collapsed="false">
      <c r="B40" s="2" t="n">
        <v>237911</v>
      </c>
      <c r="C40" s="2" t="n">
        <v>555232</v>
      </c>
    </row>
    <row r="41" customFormat="false" ht="12.8" hidden="false" customHeight="false" outlineLevel="0" collapsed="false">
      <c r="B41" s="2" t="n">
        <v>237893</v>
      </c>
      <c r="C41" s="2" t="n">
        <v>555207</v>
      </c>
    </row>
    <row r="42" customFormat="false" ht="12.8" hidden="false" customHeight="false" outlineLevel="0" collapsed="false">
      <c r="B42" s="2" t="n">
        <v>237929</v>
      </c>
      <c r="C42" s="2" t="n">
        <v>555245</v>
      </c>
    </row>
    <row r="43" customFormat="false" ht="12.8" hidden="false" customHeight="false" outlineLevel="0" collapsed="false">
      <c r="B43" s="2" t="n">
        <v>237914</v>
      </c>
      <c r="C43" s="2" t="n">
        <v>555220</v>
      </c>
    </row>
    <row r="44" customFormat="false" ht="12.8" hidden="false" customHeight="false" outlineLevel="0" collapsed="false">
      <c r="B44" s="2" t="n">
        <v>237863</v>
      </c>
      <c r="C44" s="2" t="n">
        <v>555196</v>
      </c>
    </row>
    <row r="45" customFormat="false" ht="12.8" hidden="false" customHeight="false" outlineLevel="0" collapsed="false">
      <c r="B45" s="2" t="n">
        <v>237847</v>
      </c>
      <c r="C45" s="2" t="n">
        <v>555194</v>
      </c>
    </row>
    <row r="46" customFormat="false" ht="12.8" hidden="false" customHeight="false" outlineLevel="0" collapsed="false">
      <c r="B46" s="2" t="n">
        <v>237867</v>
      </c>
      <c r="C46" s="2" t="n">
        <v>555217</v>
      </c>
    </row>
    <row r="47" customFormat="false" ht="12.8" hidden="false" customHeight="false" outlineLevel="0" collapsed="false">
      <c r="B47" s="2" t="n">
        <v>237905</v>
      </c>
      <c r="C47" s="2" t="n">
        <v>555218</v>
      </c>
    </row>
    <row r="48" customFormat="false" ht="12.8" hidden="false" customHeight="false" outlineLevel="0" collapsed="false">
      <c r="B48" s="2" t="n">
        <v>237867</v>
      </c>
      <c r="C48" s="2" t="n">
        <v>555175</v>
      </c>
    </row>
    <row r="49" customFormat="false" ht="12.8" hidden="false" customHeight="false" outlineLevel="0" collapsed="false">
      <c r="B49" s="2" t="n">
        <v>237872</v>
      </c>
      <c r="C49" s="2" t="n">
        <v>555120</v>
      </c>
    </row>
    <row r="50" customFormat="false" ht="12.8" hidden="false" customHeight="false" outlineLevel="0" collapsed="false">
      <c r="B50" s="2" t="n">
        <v>237884</v>
      </c>
      <c r="C50" s="2" t="n">
        <v>555151</v>
      </c>
    </row>
    <row r="51" customFormat="false" ht="12.8" hidden="false" customHeight="false" outlineLevel="0" collapsed="false">
      <c r="B51" s="2" t="n">
        <v>237945</v>
      </c>
      <c r="C51" s="2" t="n">
        <v>555131</v>
      </c>
    </row>
    <row r="52" customFormat="false" ht="12.8" hidden="false" customHeight="false" outlineLevel="0" collapsed="false">
      <c r="B52" s="2" t="n">
        <v>237933</v>
      </c>
      <c r="C52" s="2" t="n">
        <v>555177</v>
      </c>
    </row>
    <row r="53" customFormat="false" ht="12.8" hidden="false" customHeight="false" outlineLevel="0" collapsed="false">
      <c r="B53" s="2" t="n">
        <v>237910</v>
      </c>
      <c r="C53" s="2" t="n">
        <v>555216</v>
      </c>
    </row>
    <row r="54" customFormat="false" ht="12.8" hidden="false" customHeight="false" outlineLevel="0" collapsed="false">
      <c r="B54" s="2" t="n">
        <v>237899</v>
      </c>
      <c r="C54" s="2" t="n">
        <v>555199</v>
      </c>
    </row>
    <row r="55" customFormat="false" ht="12.8" hidden="false" customHeight="false" outlineLevel="0" collapsed="false">
      <c r="B55" s="1" t="n">
        <v>237955</v>
      </c>
      <c r="C55" s="1" t="n">
        <v>555201</v>
      </c>
    </row>
    <row r="56" customFormat="false" ht="12.8" hidden="false" customHeight="false" outlineLevel="0" collapsed="false">
      <c r="B56" s="1" t="n">
        <v>237989</v>
      </c>
      <c r="C56" s="1" t="n">
        <v>555254</v>
      </c>
    </row>
    <row r="57" customFormat="false" ht="12.8" hidden="false" customHeight="false" outlineLevel="0" collapsed="false">
      <c r="B57" s="1" t="n">
        <v>237953</v>
      </c>
      <c r="C57" s="1" t="n">
        <v>555256</v>
      </c>
    </row>
    <row r="58" customFormat="false" ht="12.8" hidden="false" customHeight="false" outlineLevel="0" collapsed="false">
      <c r="B58" s="1" t="n">
        <v>237962</v>
      </c>
      <c r="C58" s="1" t="n">
        <v>555184</v>
      </c>
    </row>
    <row r="59" customFormat="false" ht="12.8" hidden="false" customHeight="false" outlineLevel="0" collapsed="false">
      <c r="B59" s="1" t="n">
        <v>237955</v>
      </c>
      <c r="C59" s="1" t="n">
        <v>555206</v>
      </c>
    </row>
    <row r="60" customFormat="false" ht="12.8" hidden="false" customHeight="false" outlineLevel="0" collapsed="false">
      <c r="B60" s="1" t="n">
        <v>237952</v>
      </c>
      <c r="C60" s="1" t="n">
        <v>555214</v>
      </c>
    </row>
    <row r="61" customFormat="false" ht="12.8" hidden="false" customHeight="false" outlineLevel="0" collapsed="false">
      <c r="B61" s="1" t="n">
        <v>237854</v>
      </c>
      <c r="C61" s="1" t="n">
        <v>555272</v>
      </c>
    </row>
    <row r="62" customFormat="false" ht="12.8" hidden="false" customHeight="false" outlineLevel="0" collapsed="false">
      <c r="B62" s="1" t="n">
        <v>237863</v>
      </c>
      <c r="C62" s="1" t="n">
        <v>555216</v>
      </c>
    </row>
    <row r="63" customFormat="false" ht="12.8" hidden="false" customHeight="false" outlineLevel="0" collapsed="false">
      <c r="B63" s="1" t="n">
        <v>237886</v>
      </c>
      <c r="C63" s="1" t="n">
        <v>555159</v>
      </c>
    </row>
    <row r="64" customFormat="false" ht="12.8" hidden="false" customHeight="false" outlineLevel="0" collapsed="false">
      <c r="B64" s="1" t="n">
        <v>237919</v>
      </c>
      <c r="C64" s="1" t="n">
        <v>555191</v>
      </c>
    </row>
    <row r="65" customFormat="false" ht="12.8" hidden="false" customHeight="false" outlineLevel="0" collapsed="false">
      <c r="B65" s="1" t="n">
        <v>237947</v>
      </c>
      <c r="C65" s="1" t="n">
        <v>555230</v>
      </c>
    </row>
    <row r="66" customFormat="false" ht="12.8" hidden="false" customHeight="false" outlineLevel="0" collapsed="false">
      <c r="B66" s="1" t="n">
        <v>237928</v>
      </c>
      <c r="C66" s="1" t="n">
        <v>555239</v>
      </c>
    </row>
    <row r="67" customFormat="false" ht="12.8" hidden="false" customHeight="false" outlineLevel="0" collapsed="false">
      <c r="B67" s="1" t="n">
        <v>237945</v>
      </c>
      <c r="C67" s="1" t="n">
        <v>555235</v>
      </c>
    </row>
    <row r="68" customFormat="false" ht="12.8" hidden="false" customHeight="false" outlineLevel="0" collapsed="false">
      <c r="B68" s="1" t="n">
        <v>237938</v>
      </c>
      <c r="C68" s="1" t="n">
        <v>555192</v>
      </c>
    </row>
    <row r="69" customFormat="false" ht="12.8" hidden="false" customHeight="false" outlineLevel="0" collapsed="false">
      <c r="B69" s="1" t="n">
        <v>237928</v>
      </c>
      <c r="C69" s="1" t="n">
        <v>555199</v>
      </c>
    </row>
    <row r="70" customFormat="false" ht="12.8" hidden="false" customHeight="false" outlineLevel="0" collapsed="false">
      <c r="B70" s="1" t="n">
        <v>237911</v>
      </c>
      <c r="C70" s="1" t="n">
        <v>555234</v>
      </c>
    </row>
    <row r="71" customFormat="false" ht="12.8" hidden="false" customHeight="false" outlineLevel="0" collapsed="false">
      <c r="B71" s="1" t="n">
        <v>237889</v>
      </c>
      <c r="C71" s="1" t="n">
        <v>555236</v>
      </c>
    </row>
    <row r="72" customFormat="false" ht="12.8" hidden="false" customHeight="false" outlineLevel="0" collapsed="false">
      <c r="B72" s="1" t="n">
        <v>237896</v>
      </c>
      <c r="C72" s="1" t="n">
        <v>555210</v>
      </c>
    </row>
    <row r="73" customFormat="false" ht="12.8" hidden="false" customHeight="false" outlineLevel="0" collapsed="false">
      <c r="B73" s="1" t="n">
        <v>237899</v>
      </c>
      <c r="C73" s="1" t="n">
        <v>555172</v>
      </c>
    </row>
    <row r="74" customFormat="false" ht="12.8" hidden="false" customHeight="false" outlineLevel="0" collapsed="false">
      <c r="B74" s="1" t="n">
        <v>237910</v>
      </c>
      <c r="C74" s="1" t="n">
        <v>555194</v>
      </c>
    </row>
    <row r="75" customFormat="false" ht="12.8" hidden="false" customHeight="false" outlineLevel="0" collapsed="false">
      <c r="B75" s="1" t="n">
        <v>237942</v>
      </c>
      <c r="C75" s="1" t="n">
        <v>555172</v>
      </c>
    </row>
    <row r="76" customFormat="false" ht="12.8" hidden="false" customHeight="false" outlineLevel="0" collapsed="false">
      <c r="B76" s="1" t="n">
        <v>237961</v>
      </c>
      <c r="C76" s="1" t="n">
        <v>555178</v>
      </c>
    </row>
    <row r="77" customFormat="false" ht="12.8" hidden="false" customHeight="false" outlineLevel="0" collapsed="false">
      <c r="B77" s="1" t="n">
        <v>237870</v>
      </c>
      <c r="C77" s="1" t="n">
        <v>555175</v>
      </c>
    </row>
    <row r="78" customFormat="false" ht="12.8" hidden="false" customHeight="false" outlineLevel="0" collapsed="false">
      <c r="B78" s="1" t="n">
        <v>237872</v>
      </c>
      <c r="C78" s="1" t="n">
        <v>555167</v>
      </c>
    </row>
    <row r="79" customFormat="false" ht="12.8" hidden="false" customHeight="false" outlineLevel="0" collapsed="false">
      <c r="B79" s="1" t="n">
        <v>237919</v>
      </c>
      <c r="C79" s="1" t="n">
        <v>555210</v>
      </c>
    </row>
    <row r="80" customFormat="false" ht="12.8" hidden="false" customHeight="false" outlineLevel="0" collapsed="false">
      <c r="B80" s="1" t="n">
        <v>237978</v>
      </c>
      <c r="C80" s="1" t="n">
        <v>555249</v>
      </c>
    </row>
    <row r="81" customFormat="false" ht="12.8" hidden="false" customHeight="false" outlineLevel="0" collapsed="false">
      <c r="B81" s="1" t="n">
        <v>238002</v>
      </c>
      <c r="C81" s="1" t="n">
        <v>555219</v>
      </c>
    </row>
    <row r="82" customFormat="false" ht="12.8" hidden="false" customHeight="false" outlineLevel="0" collapsed="false">
      <c r="B82" s="1" t="n">
        <v>237928</v>
      </c>
      <c r="C82" s="1" t="n">
        <v>555220</v>
      </c>
    </row>
    <row r="83" customFormat="false" ht="12.8" hidden="false" customHeight="false" outlineLevel="0" collapsed="false">
      <c r="B83" s="1" t="n">
        <v>237870</v>
      </c>
      <c r="C83" s="1" t="n">
        <v>555165</v>
      </c>
    </row>
    <row r="84" customFormat="false" ht="12.8" hidden="false" customHeight="false" outlineLevel="0" collapsed="false">
      <c r="B84" s="1" t="n">
        <v>237906</v>
      </c>
      <c r="C84" s="1" t="n">
        <v>555176</v>
      </c>
    </row>
    <row r="85" customFormat="false" ht="12.8" hidden="false" customHeight="false" outlineLevel="0" collapsed="false">
      <c r="B85" s="1" t="n">
        <v>237915</v>
      </c>
      <c r="C85" s="1" t="n">
        <v>555208</v>
      </c>
    </row>
    <row r="86" customFormat="false" ht="12.8" hidden="false" customHeight="false" outlineLevel="0" collapsed="false">
      <c r="B86" s="1" t="n">
        <v>237904</v>
      </c>
      <c r="C86" s="1" t="n">
        <v>555232</v>
      </c>
    </row>
    <row r="87" customFormat="false" ht="12.8" hidden="false" customHeight="false" outlineLevel="0" collapsed="false">
      <c r="B87" s="1" t="n">
        <v>237922</v>
      </c>
      <c r="C87" s="1" t="n">
        <v>555237</v>
      </c>
    </row>
    <row r="88" customFormat="false" ht="12.8" hidden="false" customHeight="false" outlineLevel="0" collapsed="false">
      <c r="B88" s="1" t="n">
        <v>237936</v>
      </c>
      <c r="C88" s="1" t="n">
        <v>555232</v>
      </c>
    </row>
    <row r="89" customFormat="false" ht="12.8" hidden="false" customHeight="false" outlineLevel="0" collapsed="false">
      <c r="B89" s="1" t="n">
        <v>237883</v>
      </c>
      <c r="C89" s="1" t="n">
        <v>555248</v>
      </c>
    </row>
    <row r="90" customFormat="false" ht="12.8" hidden="false" customHeight="false" outlineLevel="0" collapsed="false">
      <c r="B90" s="1" t="n">
        <v>237880</v>
      </c>
      <c r="C90" s="1" t="n">
        <v>555246</v>
      </c>
    </row>
    <row r="91" customFormat="false" ht="12.8" hidden="false" customHeight="false" outlineLevel="0" collapsed="false">
      <c r="B91" s="1" t="n">
        <v>237892</v>
      </c>
      <c r="C91" s="1" t="n">
        <v>555218</v>
      </c>
    </row>
    <row r="92" customFormat="false" ht="12.8" hidden="false" customHeight="false" outlineLevel="0" collapsed="false">
      <c r="B92" s="1" t="n">
        <v>237913</v>
      </c>
      <c r="C92" s="1" t="n">
        <v>555224</v>
      </c>
    </row>
    <row r="93" customFormat="false" ht="12.8" hidden="false" customHeight="false" outlineLevel="0" collapsed="false">
      <c r="B93" s="1" t="n">
        <v>237942</v>
      </c>
      <c r="C93" s="1" t="n">
        <v>555167</v>
      </c>
    </row>
    <row r="94" customFormat="false" ht="12.8" hidden="false" customHeight="false" outlineLevel="0" collapsed="false">
      <c r="B94" s="1" t="n">
        <v>237896</v>
      </c>
      <c r="C94" s="1" t="n">
        <v>555179</v>
      </c>
    </row>
    <row r="95" customFormat="false" ht="12.8" hidden="false" customHeight="false" outlineLevel="0" collapsed="false">
      <c r="B95" s="1" t="n">
        <v>237879</v>
      </c>
      <c r="C95" s="1" t="n">
        <v>555206</v>
      </c>
    </row>
    <row r="96" customFormat="false" ht="12.8" hidden="false" customHeight="false" outlineLevel="0" collapsed="false">
      <c r="B96" s="1" t="n">
        <v>237890</v>
      </c>
      <c r="C96" s="1" t="n">
        <v>555160</v>
      </c>
    </row>
    <row r="97" customFormat="false" ht="12.8" hidden="false" customHeight="false" outlineLevel="0" collapsed="false">
      <c r="B97" s="1" t="n">
        <v>237893</v>
      </c>
      <c r="C97" s="1" t="n">
        <v>555151</v>
      </c>
    </row>
    <row r="98" customFormat="false" ht="12.8" hidden="false" customHeight="false" outlineLevel="0" collapsed="false">
      <c r="B98" s="1" t="n">
        <v>237867</v>
      </c>
      <c r="C98" s="1" t="n">
        <v>555152</v>
      </c>
    </row>
    <row r="99" customFormat="false" ht="12.8" hidden="false" customHeight="false" outlineLevel="0" collapsed="false">
      <c r="B99" s="1" t="n">
        <v>237857</v>
      </c>
      <c r="C99" s="1" t="n">
        <v>555132</v>
      </c>
    </row>
    <row r="100" customFormat="false" ht="12.8" hidden="false" customHeight="false" outlineLevel="0" collapsed="false">
      <c r="B100" s="1" t="n">
        <v>237929</v>
      </c>
      <c r="C100" s="1" t="n">
        <v>555131</v>
      </c>
    </row>
    <row r="101" customFormat="false" ht="12.8" hidden="false" customHeight="false" outlineLevel="0" collapsed="false">
      <c r="B101" s="1" t="n">
        <v>237958</v>
      </c>
      <c r="C101" s="1" t="n">
        <v>555193</v>
      </c>
    </row>
    <row r="102" customFormat="false" ht="12.8" hidden="false" customHeight="false" outlineLevel="0" collapsed="false">
      <c r="A102" s="1" t="s">
        <v>6</v>
      </c>
      <c r="B102" s="1" t="n">
        <f aca="false">AVERAGE(B3:B101)</f>
        <v>237910</v>
      </c>
      <c r="C102" s="1" t="n">
        <f aca="false">AVERAGE(C3:C101)</f>
        <v>555204.606060606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2.8" hidden="false" customHeight="false" outlineLevel="0" collapsed="false">
      <c r="B1" s="2" t="s">
        <v>0</v>
      </c>
      <c r="C1" s="2" t="s">
        <v>1</v>
      </c>
    </row>
    <row r="2" customFormat="false" ht="12.8" hidden="false" customHeight="false" outlineLevel="0" collapsed="false">
      <c r="B2" s="2" t="s">
        <v>2</v>
      </c>
      <c r="C2" s="2" t="s">
        <v>3</v>
      </c>
    </row>
    <row r="3" customFormat="false" ht="12.8" hidden="false" customHeight="false" outlineLevel="0" collapsed="false">
      <c r="B3" s="1" t="n">
        <v>131076</v>
      </c>
      <c r="C3" s="2" t="n">
        <v>-186031</v>
      </c>
    </row>
    <row r="4" customFormat="false" ht="12.8" hidden="false" customHeight="false" outlineLevel="0" collapsed="false">
      <c r="B4" s="2" t="n">
        <v>130975</v>
      </c>
      <c r="C4" s="2" t="n">
        <v>-186013</v>
      </c>
    </row>
    <row r="5" customFormat="false" ht="12.8" hidden="false" customHeight="false" outlineLevel="0" collapsed="false">
      <c r="B5" s="2" t="n">
        <v>130963</v>
      </c>
      <c r="C5" s="2" t="n">
        <v>-186023</v>
      </c>
      <c r="F5" s="1" t="n">
        <v>0</v>
      </c>
      <c r="G5" s="1" t="n">
        <f aca="false">$B$102</f>
        <v>131020.090909091</v>
      </c>
      <c r="J5" s="1" t="s">
        <v>4</v>
      </c>
      <c r="K5" s="1" t="n">
        <f aca="false">(G5-G6)/(F5-F6)</f>
        <v>3168.86676767677</v>
      </c>
    </row>
    <row r="6" customFormat="false" ht="12.8" hidden="false" customHeight="false" outlineLevel="0" collapsed="false">
      <c r="B6" s="2" t="n">
        <v>131047</v>
      </c>
      <c r="C6" s="2" t="n">
        <v>-185979</v>
      </c>
      <c r="F6" s="1" t="n">
        <v>-100</v>
      </c>
      <c r="G6" s="1" t="n">
        <f aca="false">$C$102</f>
        <v>-185866.585858586</v>
      </c>
      <c r="J6" s="1" t="s">
        <v>5</v>
      </c>
      <c r="K6" s="1" t="n">
        <f aca="false">G5/K5</f>
        <v>41.346039614391</v>
      </c>
    </row>
    <row r="7" customFormat="false" ht="12.8" hidden="false" customHeight="false" outlineLevel="0" collapsed="false">
      <c r="B7" s="2" t="n">
        <v>131035</v>
      </c>
      <c r="C7" s="2" t="n">
        <v>-185962</v>
      </c>
    </row>
    <row r="8" customFormat="false" ht="12.8" hidden="false" customHeight="false" outlineLevel="0" collapsed="false">
      <c r="B8" s="2" t="n">
        <v>131010</v>
      </c>
      <c r="C8" s="2" t="n">
        <v>-185961</v>
      </c>
    </row>
    <row r="9" customFormat="false" ht="12.8" hidden="false" customHeight="false" outlineLevel="0" collapsed="false">
      <c r="B9" s="2" t="n">
        <v>131007</v>
      </c>
      <c r="C9" s="2" t="n">
        <v>-185968</v>
      </c>
    </row>
    <row r="10" customFormat="false" ht="12.8" hidden="false" customHeight="false" outlineLevel="0" collapsed="false">
      <c r="B10" s="2" t="n">
        <v>131003</v>
      </c>
      <c r="C10" s="2" t="n">
        <v>-185951</v>
      </c>
    </row>
    <row r="11" customFormat="false" ht="12.8" hidden="false" customHeight="false" outlineLevel="0" collapsed="false">
      <c r="B11" s="2" t="n">
        <v>130980</v>
      </c>
      <c r="C11" s="2" t="n">
        <v>-185998</v>
      </c>
    </row>
    <row r="12" customFormat="false" ht="12.8" hidden="false" customHeight="false" outlineLevel="0" collapsed="false">
      <c r="B12" s="2" t="n">
        <v>130943</v>
      </c>
      <c r="C12" s="2" t="n">
        <v>-185987</v>
      </c>
    </row>
    <row r="13" customFormat="false" ht="12.8" hidden="false" customHeight="false" outlineLevel="0" collapsed="false">
      <c r="B13" s="2" t="n">
        <v>131000</v>
      </c>
      <c r="C13" s="2" t="n">
        <v>-185895</v>
      </c>
    </row>
    <row r="14" customFormat="false" ht="12.8" hidden="false" customHeight="false" outlineLevel="0" collapsed="false">
      <c r="B14" s="2" t="n">
        <v>131069</v>
      </c>
      <c r="C14" s="2" t="n">
        <v>-185901</v>
      </c>
    </row>
    <row r="15" customFormat="false" ht="12.8" hidden="false" customHeight="false" outlineLevel="0" collapsed="false">
      <c r="B15" s="2" t="n">
        <v>130985</v>
      </c>
      <c r="C15" s="2" t="n">
        <v>-185887</v>
      </c>
    </row>
    <row r="16" customFormat="false" ht="12.8" hidden="false" customHeight="false" outlineLevel="0" collapsed="false">
      <c r="B16" s="2" t="n">
        <v>130984</v>
      </c>
      <c r="C16" s="2" t="n">
        <v>-185844</v>
      </c>
    </row>
    <row r="17" customFormat="false" ht="12.8" hidden="false" customHeight="false" outlineLevel="0" collapsed="false">
      <c r="B17" s="2" t="n">
        <v>130992</v>
      </c>
      <c r="C17" s="2" t="n">
        <v>-185845</v>
      </c>
    </row>
    <row r="18" customFormat="false" ht="12.8" hidden="false" customHeight="false" outlineLevel="0" collapsed="false">
      <c r="B18" s="2" t="n">
        <v>130901</v>
      </c>
      <c r="C18" s="2" t="n">
        <v>-185799</v>
      </c>
    </row>
    <row r="19" customFormat="false" ht="12.8" hidden="false" customHeight="false" outlineLevel="0" collapsed="false">
      <c r="B19" s="2" t="n">
        <v>130991</v>
      </c>
      <c r="C19" s="2" t="n">
        <v>-185861</v>
      </c>
    </row>
    <row r="20" customFormat="false" ht="12.8" hidden="false" customHeight="false" outlineLevel="0" collapsed="false">
      <c r="B20" s="2" t="n">
        <v>131036</v>
      </c>
      <c r="C20" s="2" t="n">
        <v>-185884</v>
      </c>
    </row>
    <row r="21" customFormat="false" ht="12.8" hidden="false" customHeight="false" outlineLevel="0" collapsed="false">
      <c r="B21" s="2" t="n">
        <v>130965</v>
      </c>
      <c r="C21" s="2" t="n">
        <v>-185838</v>
      </c>
    </row>
    <row r="22" customFormat="false" ht="12.8" hidden="false" customHeight="false" outlineLevel="0" collapsed="false">
      <c r="B22" s="2" t="n">
        <v>130941</v>
      </c>
      <c r="C22" s="2" t="n">
        <v>-185830</v>
      </c>
    </row>
    <row r="23" customFormat="false" ht="12.8" hidden="false" customHeight="false" outlineLevel="0" collapsed="false">
      <c r="B23" s="2" t="n">
        <v>130932</v>
      </c>
      <c r="C23" s="2" t="n">
        <v>-185830</v>
      </c>
    </row>
    <row r="24" customFormat="false" ht="12.8" hidden="false" customHeight="false" outlineLevel="0" collapsed="false">
      <c r="B24" s="2" t="n">
        <v>131013</v>
      </c>
      <c r="C24" s="2" t="n">
        <v>-185847</v>
      </c>
    </row>
    <row r="25" customFormat="false" ht="12.8" hidden="false" customHeight="false" outlineLevel="0" collapsed="false">
      <c r="B25" s="2" t="n">
        <v>131029</v>
      </c>
      <c r="C25" s="2" t="n">
        <v>-185824</v>
      </c>
    </row>
    <row r="26" customFormat="false" ht="12.8" hidden="false" customHeight="false" outlineLevel="0" collapsed="false">
      <c r="B26" s="2" t="n">
        <v>131002</v>
      </c>
      <c r="C26" s="2" t="n">
        <v>-185845</v>
      </c>
    </row>
    <row r="27" customFormat="false" ht="12.8" hidden="false" customHeight="false" outlineLevel="0" collapsed="false">
      <c r="B27" s="2" t="n">
        <v>130895</v>
      </c>
      <c r="C27" s="2" t="n">
        <v>-185792</v>
      </c>
    </row>
    <row r="28" customFormat="false" ht="12.8" hidden="false" customHeight="false" outlineLevel="0" collapsed="false">
      <c r="B28" s="2" t="n">
        <v>130900</v>
      </c>
      <c r="C28" s="2" t="n">
        <v>-185857</v>
      </c>
    </row>
    <row r="29" customFormat="false" ht="12.8" hidden="false" customHeight="false" outlineLevel="0" collapsed="false">
      <c r="B29" s="2" t="n">
        <v>130905</v>
      </c>
      <c r="C29" s="2" t="n">
        <v>-185885</v>
      </c>
    </row>
    <row r="30" customFormat="false" ht="12.8" hidden="false" customHeight="false" outlineLevel="0" collapsed="false">
      <c r="B30" s="2" t="n">
        <v>130925</v>
      </c>
      <c r="C30" s="2" t="n">
        <v>-185842</v>
      </c>
    </row>
    <row r="31" customFormat="false" ht="12.8" hidden="false" customHeight="false" outlineLevel="0" collapsed="false">
      <c r="B31" s="2" t="n">
        <v>130920</v>
      </c>
      <c r="C31" s="2" t="n">
        <v>-185880</v>
      </c>
    </row>
    <row r="32" customFormat="false" ht="12.8" hidden="false" customHeight="false" outlineLevel="0" collapsed="false">
      <c r="B32" s="2" t="n">
        <v>130905</v>
      </c>
      <c r="C32" s="2" t="n">
        <v>-185872</v>
      </c>
    </row>
    <row r="33" customFormat="false" ht="12.8" hidden="false" customHeight="false" outlineLevel="0" collapsed="false">
      <c r="B33" s="2" t="n">
        <v>130884</v>
      </c>
      <c r="C33" s="2" t="n">
        <v>-185844</v>
      </c>
    </row>
    <row r="34" customFormat="false" ht="12.8" hidden="false" customHeight="false" outlineLevel="0" collapsed="false">
      <c r="B34" s="2" t="n">
        <v>130888</v>
      </c>
      <c r="C34" s="2" t="n">
        <v>-185839</v>
      </c>
    </row>
    <row r="35" customFormat="false" ht="12.8" hidden="false" customHeight="false" outlineLevel="0" collapsed="false">
      <c r="B35" s="2" t="n">
        <v>130950</v>
      </c>
      <c r="C35" s="2" t="n">
        <v>-185805</v>
      </c>
    </row>
    <row r="36" customFormat="false" ht="12.8" hidden="false" customHeight="false" outlineLevel="0" collapsed="false">
      <c r="B36" s="2" t="n">
        <v>131026</v>
      </c>
      <c r="C36" s="2" t="n">
        <v>-185793</v>
      </c>
    </row>
    <row r="37" customFormat="false" ht="12.8" hidden="false" customHeight="false" outlineLevel="0" collapsed="false">
      <c r="B37" s="2" t="n">
        <v>131022</v>
      </c>
      <c r="C37" s="2" t="n">
        <v>-185866</v>
      </c>
    </row>
    <row r="38" customFormat="false" ht="12.8" hidden="false" customHeight="false" outlineLevel="0" collapsed="false">
      <c r="B38" s="2" t="n">
        <v>131003</v>
      </c>
      <c r="C38" s="2" t="n">
        <v>-185856</v>
      </c>
    </row>
    <row r="39" customFormat="false" ht="12.8" hidden="false" customHeight="false" outlineLevel="0" collapsed="false">
      <c r="B39" s="2" t="n">
        <v>131053</v>
      </c>
      <c r="C39" s="2" t="n">
        <v>-185889</v>
      </c>
    </row>
    <row r="40" customFormat="false" ht="12.8" hidden="false" customHeight="false" outlineLevel="0" collapsed="false">
      <c r="B40" s="2" t="n">
        <v>130995</v>
      </c>
      <c r="C40" s="2" t="n">
        <v>-185917</v>
      </c>
    </row>
    <row r="41" customFormat="false" ht="12.8" hidden="false" customHeight="false" outlineLevel="0" collapsed="false">
      <c r="B41" s="2" t="n">
        <v>130987</v>
      </c>
      <c r="C41" s="2" t="n">
        <v>-185941</v>
      </c>
    </row>
    <row r="42" customFormat="false" ht="12.8" hidden="false" customHeight="false" outlineLevel="0" collapsed="false">
      <c r="B42" s="2" t="n">
        <v>131051</v>
      </c>
      <c r="C42" s="2" t="n">
        <v>-185916</v>
      </c>
    </row>
    <row r="43" customFormat="false" ht="12.8" hidden="false" customHeight="false" outlineLevel="0" collapsed="false">
      <c r="B43" s="2" t="n">
        <v>131123</v>
      </c>
      <c r="C43" s="2" t="n">
        <v>-185831</v>
      </c>
    </row>
    <row r="44" customFormat="false" ht="12.8" hidden="false" customHeight="false" outlineLevel="0" collapsed="false">
      <c r="B44" s="2" t="n">
        <v>131077</v>
      </c>
      <c r="C44" s="2" t="n">
        <v>-185823</v>
      </c>
    </row>
    <row r="45" customFormat="false" ht="12.8" hidden="false" customHeight="false" outlineLevel="0" collapsed="false">
      <c r="B45" s="2" t="n">
        <v>130990</v>
      </c>
      <c r="C45" s="2" t="n">
        <v>-185849</v>
      </c>
    </row>
    <row r="46" customFormat="false" ht="12.8" hidden="false" customHeight="false" outlineLevel="0" collapsed="false">
      <c r="B46" s="2" t="n">
        <v>130988</v>
      </c>
      <c r="C46" s="2" t="n">
        <v>-185888</v>
      </c>
    </row>
    <row r="47" customFormat="false" ht="12.8" hidden="false" customHeight="false" outlineLevel="0" collapsed="false">
      <c r="B47" s="2" t="n">
        <v>131029</v>
      </c>
      <c r="C47" s="2" t="n">
        <v>-185914</v>
      </c>
    </row>
    <row r="48" customFormat="false" ht="12.8" hidden="false" customHeight="false" outlineLevel="0" collapsed="false">
      <c r="B48" s="2" t="n">
        <v>131000</v>
      </c>
      <c r="C48" s="2" t="n">
        <v>-185896</v>
      </c>
    </row>
    <row r="49" customFormat="false" ht="12.8" hidden="false" customHeight="false" outlineLevel="0" collapsed="false">
      <c r="B49" s="2" t="n">
        <v>131017</v>
      </c>
      <c r="C49" s="2" t="n">
        <v>-185819</v>
      </c>
    </row>
    <row r="50" customFormat="false" ht="12.8" hidden="false" customHeight="false" outlineLevel="0" collapsed="false">
      <c r="B50" s="2" t="n">
        <v>131030</v>
      </c>
      <c r="C50" s="2" t="n">
        <v>-185799</v>
      </c>
    </row>
    <row r="51" customFormat="false" ht="12.8" hidden="false" customHeight="false" outlineLevel="0" collapsed="false">
      <c r="B51" s="2" t="n">
        <v>131089</v>
      </c>
      <c r="C51" s="2" t="n">
        <v>-185883</v>
      </c>
    </row>
    <row r="52" customFormat="false" ht="12.8" hidden="false" customHeight="false" outlineLevel="0" collapsed="false">
      <c r="B52" s="2" t="n">
        <v>131116</v>
      </c>
      <c r="C52" s="2" t="n">
        <v>-185896</v>
      </c>
    </row>
    <row r="53" customFormat="false" ht="12.8" hidden="false" customHeight="false" outlineLevel="0" collapsed="false">
      <c r="B53" s="2" t="n">
        <v>131125</v>
      </c>
      <c r="C53" s="2" t="n">
        <v>-185880</v>
      </c>
    </row>
    <row r="54" customFormat="false" ht="12.8" hidden="false" customHeight="false" outlineLevel="0" collapsed="false">
      <c r="B54" s="2" t="n">
        <v>131079</v>
      </c>
      <c r="C54" s="2" t="n">
        <v>-185919</v>
      </c>
    </row>
    <row r="55" customFormat="false" ht="12.8" hidden="false" customHeight="false" outlineLevel="0" collapsed="false">
      <c r="B55" s="1" t="n">
        <v>131078</v>
      </c>
      <c r="C55" s="1" t="n">
        <v>-185938</v>
      </c>
    </row>
    <row r="56" customFormat="false" ht="12.8" hidden="false" customHeight="false" outlineLevel="0" collapsed="false">
      <c r="B56" s="1" t="n">
        <v>131084</v>
      </c>
      <c r="C56" s="1" t="n">
        <v>-185892</v>
      </c>
    </row>
    <row r="57" customFormat="false" ht="12.8" hidden="false" customHeight="false" outlineLevel="0" collapsed="false">
      <c r="B57" s="1" t="n">
        <v>131063</v>
      </c>
      <c r="C57" s="1" t="n">
        <v>-185865</v>
      </c>
    </row>
    <row r="58" customFormat="false" ht="12.8" hidden="false" customHeight="false" outlineLevel="0" collapsed="false">
      <c r="B58" s="1" t="n">
        <v>131078</v>
      </c>
      <c r="C58" s="1" t="n">
        <v>-185898</v>
      </c>
    </row>
    <row r="59" customFormat="false" ht="12.8" hidden="false" customHeight="false" outlineLevel="0" collapsed="false">
      <c r="B59" s="1" t="n">
        <v>131104</v>
      </c>
      <c r="C59" s="1" t="n">
        <v>-185847</v>
      </c>
    </row>
    <row r="60" customFormat="false" ht="12.8" hidden="false" customHeight="false" outlineLevel="0" collapsed="false">
      <c r="B60" s="1" t="n">
        <v>131080</v>
      </c>
      <c r="C60" s="1" t="n">
        <v>-185862</v>
      </c>
    </row>
    <row r="61" customFormat="false" ht="12.8" hidden="false" customHeight="false" outlineLevel="0" collapsed="false">
      <c r="B61" s="1" t="n">
        <v>131090</v>
      </c>
      <c r="C61" s="1" t="n">
        <v>-185899</v>
      </c>
    </row>
    <row r="62" customFormat="false" ht="12.8" hidden="false" customHeight="false" outlineLevel="0" collapsed="false">
      <c r="B62" s="1" t="n">
        <v>131097</v>
      </c>
      <c r="C62" s="1" t="n">
        <v>-185957</v>
      </c>
    </row>
    <row r="63" customFormat="false" ht="12.8" hidden="false" customHeight="false" outlineLevel="0" collapsed="false">
      <c r="B63" s="1" t="n">
        <v>131059</v>
      </c>
      <c r="C63" s="1" t="n">
        <v>-185913</v>
      </c>
    </row>
    <row r="64" customFormat="false" ht="12.8" hidden="false" customHeight="false" outlineLevel="0" collapsed="false">
      <c r="B64" s="1" t="n">
        <v>131072</v>
      </c>
      <c r="C64" s="1" t="n">
        <v>-185940</v>
      </c>
    </row>
    <row r="65" customFormat="false" ht="12.8" hidden="false" customHeight="false" outlineLevel="0" collapsed="false">
      <c r="B65" s="1" t="n">
        <v>131053</v>
      </c>
      <c r="C65" s="1" t="n">
        <v>-185979</v>
      </c>
    </row>
    <row r="66" customFormat="false" ht="12.8" hidden="false" customHeight="false" outlineLevel="0" collapsed="false">
      <c r="B66" s="1" t="n">
        <v>131067</v>
      </c>
      <c r="C66" s="1" t="n">
        <v>-185948</v>
      </c>
    </row>
    <row r="67" customFormat="false" ht="12.8" hidden="false" customHeight="false" outlineLevel="0" collapsed="false">
      <c r="B67" s="1" t="n">
        <v>131098</v>
      </c>
      <c r="C67" s="1" t="n">
        <v>-185918</v>
      </c>
    </row>
    <row r="68" customFormat="false" ht="12.8" hidden="false" customHeight="false" outlineLevel="0" collapsed="false">
      <c r="B68" s="1" t="n">
        <v>131050</v>
      </c>
      <c r="C68" s="1" t="n">
        <v>-185895</v>
      </c>
    </row>
    <row r="69" customFormat="false" ht="12.8" hidden="false" customHeight="false" outlineLevel="0" collapsed="false">
      <c r="B69" s="1" t="n">
        <v>131082</v>
      </c>
      <c r="C69" s="1" t="n">
        <v>-185926</v>
      </c>
    </row>
    <row r="70" customFormat="false" ht="12.8" hidden="false" customHeight="false" outlineLevel="0" collapsed="false">
      <c r="B70" s="1" t="n">
        <v>131089</v>
      </c>
      <c r="C70" s="1" t="n">
        <v>-185925</v>
      </c>
    </row>
    <row r="71" customFormat="false" ht="12.8" hidden="false" customHeight="false" outlineLevel="0" collapsed="false">
      <c r="B71" s="1" t="n">
        <v>131051</v>
      </c>
      <c r="C71" s="1" t="n">
        <v>-185894</v>
      </c>
    </row>
    <row r="72" customFormat="false" ht="12.8" hidden="false" customHeight="false" outlineLevel="0" collapsed="false">
      <c r="B72" s="1" t="n">
        <v>131101</v>
      </c>
      <c r="C72" s="1" t="n">
        <v>-185863</v>
      </c>
    </row>
    <row r="73" customFormat="false" ht="12.8" hidden="false" customHeight="false" outlineLevel="0" collapsed="false">
      <c r="B73" s="1" t="n">
        <v>131030</v>
      </c>
      <c r="C73" s="1" t="n">
        <v>-185845</v>
      </c>
    </row>
    <row r="74" customFormat="false" ht="12.8" hidden="false" customHeight="false" outlineLevel="0" collapsed="false">
      <c r="B74" s="1" t="n">
        <v>131019</v>
      </c>
      <c r="C74" s="1" t="n">
        <v>-185911</v>
      </c>
    </row>
    <row r="75" customFormat="false" ht="12.8" hidden="false" customHeight="false" outlineLevel="0" collapsed="false">
      <c r="B75" s="1" t="n">
        <v>131096</v>
      </c>
      <c r="C75" s="1" t="n">
        <v>-185922</v>
      </c>
    </row>
    <row r="76" customFormat="false" ht="12.8" hidden="false" customHeight="false" outlineLevel="0" collapsed="false">
      <c r="B76" s="1" t="n">
        <v>131056</v>
      </c>
      <c r="C76" s="1" t="n">
        <v>-185921</v>
      </c>
    </row>
    <row r="77" customFormat="false" ht="12.8" hidden="false" customHeight="false" outlineLevel="0" collapsed="false">
      <c r="B77" s="1" t="n">
        <v>131083</v>
      </c>
      <c r="C77" s="1" t="n">
        <v>-185878</v>
      </c>
    </row>
    <row r="78" customFormat="false" ht="12.8" hidden="false" customHeight="false" outlineLevel="0" collapsed="false">
      <c r="B78" s="1" t="n">
        <v>130984</v>
      </c>
      <c r="C78" s="1" t="n">
        <v>-185907</v>
      </c>
    </row>
    <row r="79" customFormat="false" ht="12.8" hidden="false" customHeight="false" outlineLevel="0" collapsed="false">
      <c r="B79" s="1" t="n">
        <v>131003</v>
      </c>
      <c r="C79" s="1" t="n">
        <v>-185863</v>
      </c>
    </row>
    <row r="80" customFormat="false" ht="12.8" hidden="false" customHeight="false" outlineLevel="0" collapsed="false">
      <c r="B80" s="1" t="n">
        <v>131072</v>
      </c>
      <c r="C80" s="1" t="n">
        <v>-185841</v>
      </c>
    </row>
    <row r="81" customFormat="false" ht="12.8" hidden="false" customHeight="false" outlineLevel="0" collapsed="false">
      <c r="B81" s="1" t="n">
        <v>131085</v>
      </c>
      <c r="C81" s="1" t="n">
        <v>-185871</v>
      </c>
    </row>
    <row r="82" customFormat="false" ht="12.8" hidden="false" customHeight="false" outlineLevel="0" collapsed="false">
      <c r="B82" s="1" t="n">
        <v>131036</v>
      </c>
      <c r="C82" s="1" t="n">
        <v>-185848</v>
      </c>
    </row>
    <row r="83" customFormat="false" ht="12.8" hidden="false" customHeight="false" outlineLevel="0" collapsed="false">
      <c r="B83" s="1" t="n">
        <v>131011</v>
      </c>
      <c r="C83" s="1" t="n">
        <v>-185845</v>
      </c>
    </row>
    <row r="84" customFormat="false" ht="12.8" hidden="false" customHeight="false" outlineLevel="0" collapsed="false">
      <c r="B84" s="1" t="n">
        <v>131003</v>
      </c>
      <c r="C84" s="1" t="n">
        <v>-185875</v>
      </c>
    </row>
    <row r="85" customFormat="false" ht="12.8" hidden="false" customHeight="false" outlineLevel="0" collapsed="false">
      <c r="B85" s="1" t="n">
        <v>131073</v>
      </c>
      <c r="C85" s="1" t="n">
        <v>-185866</v>
      </c>
    </row>
    <row r="86" customFormat="false" ht="12.8" hidden="false" customHeight="false" outlineLevel="0" collapsed="false">
      <c r="B86" s="1" t="n">
        <v>131133</v>
      </c>
      <c r="C86" s="1" t="n">
        <v>-185812</v>
      </c>
    </row>
    <row r="87" customFormat="false" ht="12.8" hidden="false" customHeight="false" outlineLevel="0" collapsed="false">
      <c r="B87" s="1" t="n">
        <v>131110</v>
      </c>
      <c r="C87" s="1" t="n">
        <v>-185777</v>
      </c>
    </row>
    <row r="88" customFormat="false" ht="12.8" hidden="false" customHeight="false" outlineLevel="0" collapsed="false">
      <c r="B88" s="1" t="n">
        <v>131084</v>
      </c>
      <c r="C88" s="1" t="n">
        <v>-185786</v>
      </c>
    </row>
    <row r="89" customFormat="false" ht="12.8" hidden="false" customHeight="false" outlineLevel="0" collapsed="false">
      <c r="B89" s="1" t="n">
        <v>131054</v>
      </c>
      <c r="C89" s="1" t="n">
        <v>-185772</v>
      </c>
    </row>
    <row r="90" customFormat="false" ht="12.8" hidden="false" customHeight="false" outlineLevel="0" collapsed="false">
      <c r="B90" s="1" t="n">
        <v>131003</v>
      </c>
      <c r="C90" s="1" t="n">
        <v>-185754</v>
      </c>
    </row>
    <row r="91" customFormat="false" ht="12.8" hidden="false" customHeight="false" outlineLevel="0" collapsed="false">
      <c r="B91" s="1" t="n">
        <v>130995</v>
      </c>
      <c r="C91" s="1" t="n">
        <v>-185767</v>
      </c>
    </row>
    <row r="92" customFormat="false" ht="12.8" hidden="false" customHeight="false" outlineLevel="0" collapsed="false">
      <c r="B92" s="1" t="n">
        <v>130996</v>
      </c>
      <c r="C92" s="1" t="n">
        <v>-185748</v>
      </c>
    </row>
    <row r="93" customFormat="false" ht="12.8" hidden="false" customHeight="false" outlineLevel="0" collapsed="false">
      <c r="B93" s="1" t="n">
        <v>130994</v>
      </c>
      <c r="C93" s="1" t="n">
        <v>-185765</v>
      </c>
    </row>
    <row r="94" customFormat="false" ht="12.8" hidden="false" customHeight="false" outlineLevel="0" collapsed="false">
      <c r="B94" s="1" t="n">
        <v>130983</v>
      </c>
      <c r="C94" s="1" t="n">
        <v>-185792</v>
      </c>
    </row>
    <row r="95" customFormat="false" ht="12.8" hidden="false" customHeight="false" outlineLevel="0" collapsed="false">
      <c r="B95" s="1" t="n">
        <v>130996</v>
      </c>
      <c r="C95" s="1" t="n">
        <v>-185785</v>
      </c>
    </row>
    <row r="96" customFormat="false" ht="12.8" hidden="false" customHeight="false" outlineLevel="0" collapsed="false">
      <c r="B96" s="1" t="n">
        <v>131034</v>
      </c>
      <c r="C96" s="1" t="n">
        <v>-185748</v>
      </c>
    </row>
    <row r="97" customFormat="false" ht="12.8" hidden="false" customHeight="false" outlineLevel="0" collapsed="false">
      <c r="B97" s="1" t="n">
        <v>131001</v>
      </c>
      <c r="C97" s="1" t="n">
        <v>-185722</v>
      </c>
    </row>
    <row r="98" customFormat="false" ht="12.8" hidden="false" customHeight="false" outlineLevel="0" collapsed="false">
      <c r="B98" s="1" t="n">
        <v>130973</v>
      </c>
      <c r="C98" s="1" t="n">
        <v>-185686</v>
      </c>
    </row>
    <row r="99" customFormat="false" ht="12.8" hidden="false" customHeight="false" outlineLevel="0" collapsed="false">
      <c r="B99" s="1" t="n">
        <v>130931</v>
      </c>
      <c r="C99" s="1" t="n">
        <v>-185649</v>
      </c>
    </row>
    <row r="100" customFormat="false" ht="12.8" hidden="false" customHeight="false" outlineLevel="0" collapsed="false">
      <c r="B100" s="1" t="n">
        <v>130930</v>
      </c>
      <c r="C100" s="1" t="n">
        <v>-185697</v>
      </c>
    </row>
    <row r="101" customFormat="false" ht="12.8" hidden="false" customHeight="false" outlineLevel="0" collapsed="false">
      <c r="B101" s="1" t="n">
        <v>130974</v>
      </c>
      <c r="C101" s="1" t="n">
        <v>-185786</v>
      </c>
    </row>
    <row r="102" customFormat="false" ht="12.8" hidden="false" customHeight="false" outlineLevel="0" collapsed="false">
      <c r="A102" s="1" t="s">
        <v>6</v>
      </c>
      <c r="B102" s="1" t="n">
        <f aca="false">AVERAGE(B3:B101)</f>
        <v>131020.090909091</v>
      </c>
      <c r="C102" s="1" t="n">
        <f aca="false">AVERAGE(C3:C101)</f>
        <v>-185866.585858586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2.8" hidden="false" customHeight="false" outlineLevel="0" collapsed="false">
      <c r="B1" s="2" t="s">
        <v>0</v>
      </c>
      <c r="C1" s="2" t="s">
        <v>1</v>
      </c>
    </row>
    <row r="2" customFormat="false" ht="12.8" hidden="false" customHeight="false" outlineLevel="0" collapsed="false">
      <c r="B2" s="2" t="s">
        <v>2</v>
      </c>
      <c r="C2" s="2" t="s">
        <v>3</v>
      </c>
    </row>
    <row r="3" customFormat="false" ht="12.8" hidden="false" customHeight="false" outlineLevel="0" collapsed="false">
      <c r="B3" s="1" t="n">
        <v>133375</v>
      </c>
      <c r="C3" s="2" t="n">
        <v>-180733</v>
      </c>
    </row>
    <row r="4" customFormat="false" ht="12.8" hidden="false" customHeight="false" outlineLevel="0" collapsed="false">
      <c r="B4" s="2" t="n">
        <v>133476</v>
      </c>
      <c r="C4" s="2" t="n">
        <v>-180723</v>
      </c>
    </row>
    <row r="5" customFormat="false" ht="12.8" hidden="false" customHeight="false" outlineLevel="0" collapsed="false">
      <c r="B5" s="2" t="n">
        <v>133470</v>
      </c>
      <c r="C5" s="2" t="n">
        <v>-180670</v>
      </c>
      <c r="F5" s="1" t="n">
        <v>0</v>
      </c>
      <c r="G5" s="1" t="n">
        <f aca="false">$B$102</f>
        <v>133267.212121212</v>
      </c>
      <c r="J5" s="1" t="s">
        <v>4</v>
      </c>
      <c r="K5" s="1" t="n">
        <f aca="false">(G5-G6)/(F5-F6)</f>
        <v>3138.59929292929</v>
      </c>
    </row>
    <row r="6" customFormat="false" ht="12.8" hidden="false" customHeight="false" outlineLevel="0" collapsed="false">
      <c r="B6" s="2" t="n">
        <v>133455</v>
      </c>
      <c r="C6" s="2" t="n">
        <v>-180676</v>
      </c>
      <c r="F6" s="1" t="n">
        <v>-100</v>
      </c>
      <c r="G6" s="1" t="n">
        <f aca="false">$C$102</f>
        <v>-180592.717171717</v>
      </c>
      <c r="J6" s="1" t="s">
        <v>5</v>
      </c>
      <c r="K6" s="1" t="n">
        <f aca="false">G5/K5</f>
        <v>42.460728396084</v>
      </c>
    </row>
    <row r="7" customFormat="false" ht="12.8" hidden="false" customHeight="false" outlineLevel="0" collapsed="false">
      <c r="B7" s="2" t="n">
        <v>133385</v>
      </c>
      <c r="C7" s="2" t="n">
        <v>-180720</v>
      </c>
    </row>
    <row r="8" customFormat="false" ht="12.8" hidden="false" customHeight="false" outlineLevel="0" collapsed="false">
      <c r="B8" s="2" t="n">
        <v>133268</v>
      </c>
      <c r="C8" s="2" t="n">
        <v>-180713</v>
      </c>
    </row>
    <row r="9" customFormat="false" ht="12.8" hidden="false" customHeight="false" outlineLevel="0" collapsed="false">
      <c r="B9" s="2" t="n">
        <v>133377</v>
      </c>
      <c r="C9" s="2" t="n">
        <v>-180691</v>
      </c>
    </row>
    <row r="10" customFormat="false" ht="12.8" hidden="false" customHeight="false" outlineLevel="0" collapsed="false">
      <c r="B10" s="2" t="n">
        <v>133361</v>
      </c>
      <c r="C10" s="2" t="n">
        <v>-180694</v>
      </c>
    </row>
    <row r="11" customFormat="false" ht="12.8" hidden="false" customHeight="false" outlineLevel="0" collapsed="false">
      <c r="B11" s="2" t="n">
        <v>133412</v>
      </c>
      <c r="C11" s="2" t="n">
        <v>-180635</v>
      </c>
    </row>
    <row r="12" customFormat="false" ht="12.8" hidden="false" customHeight="false" outlineLevel="0" collapsed="false">
      <c r="B12" s="2" t="n">
        <v>133375</v>
      </c>
      <c r="C12" s="2" t="n">
        <v>-180693</v>
      </c>
    </row>
    <row r="13" customFormat="false" ht="12.8" hidden="false" customHeight="false" outlineLevel="0" collapsed="false">
      <c r="B13" s="2" t="n">
        <v>133311</v>
      </c>
      <c r="C13" s="2" t="n">
        <v>-180680</v>
      </c>
    </row>
    <row r="14" customFormat="false" ht="12.8" hidden="false" customHeight="false" outlineLevel="0" collapsed="false">
      <c r="B14" s="2" t="n">
        <v>133360</v>
      </c>
      <c r="C14" s="2" t="n">
        <v>-180656</v>
      </c>
    </row>
    <row r="15" customFormat="false" ht="12.8" hidden="false" customHeight="false" outlineLevel="0" collapsed="false">
      <c r="B15" s="2" t="n">
        <v>133397</v>
      </c>
      <c r="C15" s="2" t="n">
        <v>-180657</v>
      </c>
    </row>
    <row r="16" customFormat="false" ht="12.8" hidden="false" customHeight="false" outlineLevel="0" collapsed="false">
      <c r="B16" s="2" t="n">
        <v>133316</v>
      </c>
      <c r="C16" s="2" t="n">
        <v>-180656</v>
      </c>
    </row>
    <row r="17" customFormat="false" ht="12.8" hidden="false" customHeight="false" outlineLevel="0" collapsed="false">
      <c r="B17" s="2" t="n">
        <v>133301</v>
      </c>
      <c r="C17" s="2" t="n">
        <v>-180653</v>
      </c>
    </row>
    <row r="18" customFormat="false" ht="12.8" hidden="false" customHeight="false" outlineLevel="0" collapsed="false">
      <c r="B18" s="2" t="n">
        <v>133369</v>
      </c>
      <c r="C18" s="2" t="n">
        <v>-180643</v>
      </c>
    </row>
    <row r="19" customFormat="false" ht="12.8" hidden="false" customHeight="false" outlineLevel="0" collapsed="false">
      <c r="B19" s="2" t="n">
        <v>133296</v>
      </c>
      <c r="C19" s="2" t="n">
        <v>-180607</v>
      </c>
    </row>
    <row r="20" customFormat="false" ht="12.8" hidden="false" customHeight="false" outlineLevel="0" collapsed="false">
      <c r="B20" s="2" t="n">
        <v>133281</v>
      </c>
      <c r="C20" s="2" t="n">
        <v>-180592</v>
      </c>
    </row>
    <row r="21" customFormat="false" ht="12.8" hidden="false" customHeight="false" outlineLevel="0" collapsed="false">
      <c r="B21" s="2" t="n">
        <v>133306</v>
      </c>
      <c r="C21" s="2" t="n">
        <v>-180642</v>
      </c>
    </row>
    <row r="22" customFormat="false" ht="12.8" hidden="false" customHeight="false" outlineLevel="0" collapsed="false">
      <c r="B22" s="2" t="n">
        <v>133319</v>
      </c>
      <c r="C22" s="2" t="n">
        <v>-180680</v>
      </c>
    </row>
    <row r="23" customFormat="false" ht="12.8" hidden="false" customHeight="false" outlineLevel="0" collapsed="false">
      <c r="B23" s="2" t="n">
        <v>133414</v>
      </c>
      <c r="C23" s="2" t="n">
        <v>-180668</v>
      </c>
    </row>
    <row r="24" customFormat="false" ht="12.8" hidden="false" customHeight="false" outlineLevel="0" collapsed="false">
      <c r="B24" s="2" t="n">
        <v>133388</v>
      </c>
      <c r="C24" s="2" t="n">
        <v>-180635</v>
      </c>
    </row>
    <row r="25" customFormat="false" ht="12.8" hidden="false" customHeight="false" outlineLevel="0" collapsed="false">
      <c r="B25" s="2" t="n">
        <v>133310</v>
      </c>
      <c r="C25" s="2" t="n">
        <v>-180618</v>
      </c>
    </row>
    <row r="26" customFormat="false" ht="12.8" hidden="false" customHeight="false" outlineLevel="0" collapsed="false">
      <c r="B26" s="2" t="n">
        <v>133241</v>
      </c>
      <c r="C26" s="2" t="n">
        <v>-180558</v>
      </c>
    </row>
    <row r="27" customFormat="false" ht="12.8" hidden="false" customHeight="false" outlineLevel="0" collapsed="false">
      <c r="B27" s="2" t="n">
        <v>133233</v>
      </c>
      <c r="C27" s="2" t="n">
        <v>-180607</v>
      </c>
    </row>
    <row r="28" customFormat="false" ht="12.8" hidden="false" customHeight="false" outlineLevel="0" collapsed="false">
      <c r="B28" s="2" t="n">
        <v>133246</v>
      </c>
      <c r="C28" s="2" t="n">
        <v>-180612</v>
      </c>
    </row>
    <row r="29" customFormat="false" ht="12.8" hidden="false" customHeight="false" outlineLevel="0" collapsed="false">
      <c r="B29" s="2" t="n">
        <v>133313</v>
      </c>
      <c r="C29" s="2" t="n">
        <v>-180594</v>
      </c>
    </row>
    <row r="30" customFormat="false" ht="12.8" hidden="false" customHeight="false" outlineLevel="0" collapsed="false">
      <c r="B30" s="2" t="n">
        <v>133284</v>
      </c>
      <c r="C30" s="2" t="n">
        <v>-180645</v>
      </c>
    </row>
    <row r="31" customFormat="false" ht="12.8" hidden="false" customHeight="false" outlineLevel="0" collapsed="false">
      <c r="B31" s="2" t="n">
        <v>133314</v>
      </c>
      <c r="C31" s="2" t="n">
        <v>-180604</v>
      </c>
    </row>
    <row r="32" customFormat="false" ht="12.8" hidden="false" customHeight="false" outlineLevel="0" collapsed="false">
      <c r="B32" s="2" t="n">
        <v>133307</v>
      </c>
      <c r="C32" s="2" t="n">
        <v>-180570</v>
      </c>
    </row>
    <row r="33" customFormat="false" ht="12.8" hidden="false" customHeight="false" outlineLevel="0" collapsed="false">
      <c r="B33" s="2" t="n">
        <v>133352</v>
      </c>
      <c r="C33" s="2" t="n">
        <v>-180595</v>
      </c>
    </row>
    <row r="34" customFormat="false" ht="12.8" hidden="false" customHeight="false" outlineLevel="0" collapsed="false">
      <c r="B34" s="2" t="n">
        <v>133324</v>
      </c>
      <c r="C34" s="2" t="n">
        <v>-180598</v>
      </c>
    </row>
    <row r="35" customFormat="false" ht="12.8" hidden="false" customHeight="false" outlineLevel="0" collapsed="false">
      <c r="B35" s="2" t="n">
        <v>133289</v>
      </c>
      <c r="C35" s="2" t="n">
        <v>-180583</v>
      </c>
    </row>
    <row r="36" customFormat="false" ht="12.8" hidden="false" customHeight="false" outlineLevel="0" collapsed="false">
      <c r="B36" s="2" t="n">
        <v>133323</v>
      </c>
      <c r="C36" s="2" t="n">
        <v>-180612</v>
      </c>
    </row>
    <row r="37" customFormat="false" ht="12.8" hidden="false" customHeight="false" outlineLevel="0" collapsed="false">
      <c r="B37" s="2" t="n">
        <v>133304</v>
      </c>
      <c r="C37" s="2" t="n">
        <v>-180594</v>
      </c>
    </row>
    <row r="38" customFormat="false" ht="12.8" hidden="false" customHeight="false" outlineLevel="0" collapsed="false">
      <c r="B38" s="2" t="n">
        <v>133296</v>
      </c>
      <c r="C38" s="2" t="n">
        <v>-180613</v>
      </c>
    </row>
    <row r="39" customFormat="false" ht="12.8" hidden="false" customHeight="false" outlineLevel="0" collapsed="false">
      <c r="B39" s="2" t="n">
        <v>133281</v>
      </c>
      <c r="C39" s="2" t="n">
        <v>-180638</v>
      </c>
    </row>
    <row r="40" customFormat="false" ht="12.8" hidden="false" customHeight="false" outlineLevel="0" collapsed="false">
      <c r="B40" s="2" t="n">
        <v>133269</v>
      </c>
      <c r="C40" s="2" t="n">
        <v>-180624</v>
      </c>
    </row>
    <row r="41" customFormat="false" ht="12.8" hidden="false" customHeight="false" outlineLevel="0" collapsed="false">
      <c r="B41" s="2" t="n">
        <v>133290</v>
      </c>
      <c r="C41" s="2" t="n">
        <v>-180629</v>
      </c>
    </row>
    <row r="42" customFormat="false" ht="12.8" hidden="false" customHeight="false" outlineLevel="0" collapsed="false">
      <c r="B42" s="2" t="n">
        <v>133277</v>
      </c>
      <c r="C42" s="2" t="n">
        <v>-180615</v>
      </c>
    </row>
    <row r="43" customFormat="false" ht="12.8" hidden="false" customHeight="false" outlineLevel="0" collapsed="false">
      <c r="B43" s="2" t="n">
        <v>133288</v>
      </c>
      <c r="C43" s="2" t="n">
        <v>-180597</v>
      </c>
    </row>
    <row r="44" customFormat="false" ht="12.8" hidden="false" customHeight="false" outlineLevel="0" collapsed="false">
      <c r="B44" s="2" t="n">
        <v>133294</v>
      </c>
      <c r="C44" s="2" t="n">
        <v>-180619</v>
      </c>
    </row>
    <row r="45" customFormat="false" ht="12.8" hidden="false" customHeight="false" outlineLevel="0" collapsed="false">
      <c r="B45" s="2" t="n">
        <v>133260</v>
      </c>
      <c r="C45" s="2" t="n">
        <v>-180593</v>
      </c>
    </row>
    <row r="46" customFormat="false" ht="12.8" hidden="false" customHeight="false" outlineLevel="0" collapsed="false">
      <c r="B46" s="2" t="n">
        <v>133232</v>
      </c>
      <c r="C46" s="2" t="n">
        <v>-180631</v>
      </c>
    </row>
    <row r="47" customFormat="false" ht="12.8" hidden="false" customHeight="false" outlineLevel="0" collapsed="false">
      <c r="B47" s="2" t="n">
        <v>133299</v>
      </c>
      <c r="C47" s="2" t="n">
        <v>-180625</v>
      </c>
    </row>
    <row r="48" customFormat="false" ht="12.8" hidden="false" customHeight="false" outlineLevel="0" collapsed="false">
      <c r="B48" s="2" t="n">
        <v>133267</v>
      </c>
      <c r="C48" s="2" t="n">
        <v>-180647</v>
      </c>
    </row>
    <row r="49" customFormat="false" ht="12.8" hidden="false" customHeight="false" outlineLevel="0" collapsed="false">
      <c r="B49" s="2" t="n">
        <v>133287</v>
      </c>
      <c r="C49" s="2" t="n">
        <v>-180646</v>
      </c>
    </row>
    <row r="50" customFormat="false" ht="12.8" hidden="false" customHeight="false" outlineLevel="0" collapsed="false">
      <c r="B50" s="2" t="n">
        <v>133275</v>
      </c>
      <c r="C50" s="2" t="n">
        <v>-180596</v>
      </c>
    </row>
    <row r="51" customFormat="false" ht="12.8" hidden="false" customHeight="false" outlineLevel="0" collapsed="false">
      <c r="B51" s="2" t="n">
        <v>133260</v>
      </c>
      <c r="C51" s="2" t="n">
        <v>-180573</v>
      </c>
    </row>
    <row r="52" customFormat="false" ht="12.8" hidden="false" customHeight="false" outlineLevel="0" collapsed="false">
      <c r="B52" s="2" t="n">
        <v>133285</v>
      </c>
      <c r="C52" s="2" t="n">
        <v>-180602</v>
      </c>
    </row>
    <row r="53" customFormat="false" ht="12.8" hidden="false" customHeight="false" outlineLevel="0" collapsed="false">
      <c r="B53" s="2" t="n">
        <v>133241</v>
      </c>
      <c r="C53" s="2" t="n">
        <v>-180589</v>
      </c>
    </row>
    <row r="54" customFormat="false" ht="12.8" hidden="false" customHeight="false" outlineLevel="0" collapsed="false">
      <c r="B54" s="2" t="n">
        <v>133246</v>
      </c>
      <c r="C54" s="2" t="n">
        <v>-180570</v>
      </c>
    </row>
    <row r="55" customFormat="false" ht="12.8" hidden="false" customHeight="false" outlineLevel="0" collapsed="false">
      <c r="B55" s="1" t="n">
        <v>133250</v>
      </c>
      <c r="C55" s="1" t="n">
        <v>-180591</v>
      </c>
    </row>
    <row r="56" customFormat="false" ht="12.8" hidden="false" customHeight="false" outlineLevel="0" collapsed="false">
      <c r="B56" s="1" t="n">
        <v>133221</v>
      </c>
      <c r="C56" s="1" t="n">
        <v>-180588</v>
      </c>
    </row>
    <row r="57" customFormat="false" ht="12.8" hidden="false" customHeight="false" outlineLevel="0" collapsed="false">
      <c r="B57" s="1" t="n">
        <v>133194</v>
      </c>
      <c r="C57" s="1" t="n">
        <v>-180603</v>
      </c>
    </row>
    <row r="58" customFormat="false" ht="12.8" hidden="false" customHeight="false" outlineLevel="0" collapsed="false">
      <c r="B58" s="1" t="n">
        <v>133120</v>
      </c>
      <c r="C58" s="1" t="n">
        <v>-180604</v>
      </c>
    </row>
    <row r="59" customFormat="false" ht="12.8" hidden="false" customHeight="false" outlineLevel="0" collapsed="false">
      <c r="B59" s="1" t="n">
        <v>133167</v>
      </c>
      <c r="C59" s="1" t="n">
        <v>-180546</v>
      </c>
    </row>
    <row r="60" customFormat="false" ht="12.8" hidden="false" customHeight="false" outlineLevel="0" collapsed="false">
      <c r="B60" s="1" t="n">
        <v>133142</v>
      </c>
      <c r="C60" s="1" t="n">
        <v>-180533</v>
      </c>
    </row>
    <row r="61" customFormat="false" ht="12.8" hidden="false" customHeight="false" outlineLevel="0" collapsed="false">
      <c r="B61" s="1" t="n">
        <v>133175</v>
      </c>
      <c r="C61" s="1" t="n">
        <v>-180518</v>
      </c>
    </row>
    <row r="62" customFormat="false" ht="12.8" hidden="false" customHeight="false" outlineLevel="0" collapsed="false">
      <c r="B62" s="1" t="n">
        <v>133231</v>
      </c>
      <c r="C62" s="1" t="n">
        <v>-180573</v>
      </c>
    </row>
    <row r="63" customFormat="false" ht="12.8" hidden="false" customHeight="false" outlineLevel="0" collapsed="false">
      <c r="B63" s="1" t="n">
        <v>133237</v>
      </c>
      <c r="C63" s="1" t="n">
        <v>-180565</v>
      </c>
    </row>
    <row r="64" customFormat="false" ht="12.8" hidden="false" customHeight="false" outlineLevel="0" collapsed="false">
      <c r="B64" s="1" t="n">
        <v>133258</v>
      </c>
      <c r="C64" s="1" t="n">
        <v>-180536</v>
      </c>
    </row>
    <row r="65" customFormat="false" ht="12.8" hidden="false" customHeight="false" outlineLevel="0" collapsed="false">
      <c r="B65" s="1" t="n">
        <v>133258</v>
      </c>
      <c r="C65" s="1" t="n">
        <v>-180554</v>
      </c>
    </row>
    <row r="66" customFormat="false" ht="12.8" hidden="false" customHeight="false" outlineLevel="0" collapsed="false">
      <c r="B66" s="1" t="n">
        <v>133207</v>
      </c>
      <c r="C66" s="1" t="n">
        <v>-180535</v>
      </c>
    </row>
    <row r="67" customFormat="false" ht="12.8" hidden="false" customHeight="false" outlineLevel="0" collapsed="false">
      <c r="B67" s="1" t="n">
        <v>133185</v>
      </c>
      <c r="C67" s="1" t="n">
        <v>-180497</v>
      </c>
    </row>
    <row r="68" customFormat="false" ht="12.8" hidden="false" customHeight="false" outlineLevel="0" collapsed="false">
      <c r="B68" s="1" t="n">
        <v>133168</v>
      </c>
      <c r="C68" s="1" t="n">
        <v>-180570</v>
      </c>
    </row>
    <row r="69" customFormat="false" ht="12.8" hidden="false" customHeight="false" outlineLevel="0" collapsed="false">
      <c r="B69" s="1" t="n">
        <v>133157</v>
      </c>
      <c r="C69" s="1" t="n">
        <v>-180529</v>
      </c>
    </row>
    <row r="70" customFormat="false" ht="12.8" hidden="false" customHeight="false" outlineLevel="0" collapsed="false">
      <c r="B70" s="1" t="n">
        <v>133189</v>
      </c>
      <c r="C70" s="1" t="n">
        <v>-180474</v>
      </c>
    </row>
    <row r="71" customFormat="false" ht="12.8" hidden="false" customHeight="false" outlineLevel="0" collapsed="false">
      <c r="B71" s="1" t="n">
        <v>133196</v>
      </c>
      <c r="C71" s="1" t="n">
        <v>-180482</v>
      </c>
    </row>
    <row r="72" customFormat="false" ht="12.8" hidden="false" customHeight="false" outlineLevel="0" collapsed="false">
      <c r="B72" s="1" t="n">
        <v>133200</v>
      </c>
      <c r="C72" s="1" t="n">
        <v>-180583</v>
      </c>
    </row>
    <row r="73" customFormat="false" ht="12.8" hidden="false" customHeight="false" outlineLevel="0" collapsed="false">
      <c r="B73" s="1" t="n">
        <v>133235</v>
      </c>
      <c r="C73" s="1" t="n">
        <v>-180587</v>
      </c>
    </row>
    <row r="74" customFormat="false" ht="12.8" hidden="false" customHeight="false" outlineLevel="0" collapsed="false">
      <c r="B74" s="1" t="n">
        <v>133160</v>
      </c>
      <c r="C74" s="1" t="n">
        <v>-180554</v>
      </c>
    </row>
    <row r="75" customFormat="false" ht="12.8" hidden="false" customHeight="false" outlineLevel="0" collapsed="false">
      <c r="B75" s="1" t="n">
        <v>133214</v>
      </c>
      <c r="C75" s="1" t="n">
        <v>-180548</v>
      </c>
    </row>
    <row r="76" customFormat="false" ht="12.8" hidden="false" customHeight="false" outlineLevel="0" collapsed="false">
      <c r="B76" s="1" t="n">
        <v>133252</v>
      </c>
      <c r="C76" s="1" t="n">
        <v>-180562</v>
      </c>
    </row>
    <row r="77" customFormat="false" ht="12.8" hidden="false" customHeight="false" outlineLevel="0" collapsed="false">
      <c r="B77" s="1" t="n">
        <v>133229</v>
      </c>
      <c r="C77" s="1" t="n">
        <v>-180562</v>
      </c>
    </row>
    <row r="78" customFormat="false" ht="12.8" hidden="false" customHeight="false" outlineLevel="0" collapsed="false">
      <c r="B78" s="1" t="n">
        <v>133177</v>
      </c>
      <c r="C78" s="1" t="n">
        <v>-180562</v>
      </c>
    </row>
    <row r="79" customFormat="false" ht="12.8" hidden="false" customHeight="false" outlineLevel="0" collapsed="false">
      <c r="B79" s="1" t="n">
        <v>133193</v>
      </c>
      <c r="C79" s="1" t="n">
        <v>-180580</v>
      </c>
    </row>
    <row r="80" customFormat="false" ht="12.8" hidden="false" customHeight="false" outlineLevel="0" collapsed="false">
      <c r="B80" s="1" t="n">
        <v>133210</v>
      </c>
      <c r="C80" s="1" t="n">
        <v>-180582</v>
      </c>
    </row>
    <row r="81" customFormat="false" ht="12.8" hidden="false" customHeight="false" outlineLevel="0" collapsed="false">
      <c r="B81" s="1" t="n">
        <v>133265</v>
      </c>
      <c r="C81" s="1" t="n">
        <v>-180528</v>
      </c>
    </row>
    <row r="82" customFormat="false" ht="12.8" hidden="false" customHeight="false" outlineLevel="0" collapsed="false">
      <c r="B82" s="1" t="n">
        <v>133309</v>
      </c>
      <c r="C82" s="1" t="n">
        <v>-180495</v>
      </c>
    </row>
    <row r="83" customFormat="false" ht="12.8" hidden="false" customHeight="false" outlineLevel="0" collapsed="false">
      <c r="B83" s="1" t="n">
        <v>133301</v>
      </c>
      <c r="C83" s="1" t="n">
        <v>-180539</v>
      </c>
    </row>
    <row r="84" customFormat="false" ht="12.8" hidden="false" customHeight="false" outlineLevel="0" collapsed="false">
      <c r="B84" s="1" t="n">
        <v>133288</v>
      </c>
      <c r="C84" s="1" t="n">
        <v>-180577</v>
      </c>
    </row>
    <row r="85" customFormat="false" ht="12.8" hidden="false" customHeight="false" outlineLevel="0" collapsed="false">
      <c r="B85" s="1" t="n">
        <v>133167</v>
      </c>
      <c r="C85" s="1" t="n">
        <v>-180530</v>
      </c>
    </row>
    <row r="86" customFormat="false" ht="12.8" hidden="false" customHeight="false" outlineLevel="0" collapsed="false">
      <c r="B86" s="1" t="n">
        <v>133202</v>
      </c>
      <c r="C86" s="1" t="n">
        <v>-180508</v>
      </c>
    </row>
    <row r="87" customFormat="false" ht="12.8" hidden="false" customHeight="false" outlineLevel="0" collapsed="false">
      <c r="B87" s="1" t="n">
        <v>133202</v>
      </c>
      <c r="C87" s="1" t="n">
        <v>-180546</v>
      </c>
    </row>
    <row r="88" customFormat="false" ht="12.8" hidden="false" customHeight="false" outlineLevel="0" collapsed="false">
      <c r="B88" s="1" t="n">
        <v>133179</v>
      </c>
      <c r="C88" s="1" t="n">
        <v>-180565</v>
      </c>
    </row>
    <row r="89" customFormat="false" ht="12.8" hidden="false" customHeight="false" outlineLevel="0" collapsed="false">
      <c r="B89" s="1" t="n">
        <v>133172</v>
      </c>
      <c r="C89" s="1" t="n">
        <v>-180545</v>
      </c>
    </row>
    <row r="90" customFormat="false" ht="12.8" hidden="false" customHeight="false" outlineLevel="0" collapsed="false">
      <c r="B90" s="1" t="n">
        <v>133249</v>
      </c>
      <c r="C90" s="1" t="n">
        <v>-180592</v>
      </c>
    </row>
    <row r="91" customFormat="false" ht="12.8" hidden="false" customHeight="false" outlineLevel="0" collapsed="false">
      <c r="B91" s="1" t="n">
        <v>133294</v>
      </c>
      <c r="C91" s="1" t="n">
        <v>-180500</v>
      </c>
    </row>
    <row r="92" customFormat="false" ht="12.8" hidden="false" customHeight="false" outlineLevel="0" collapsed="false">
      <c r="B92" s="1" t="n">
        <v>133215</v>
      </c>
      <c r="C92" s="1" t="n">
        <v>-180508</v>
      </c>
    </row>
    <row r="93" customFormat="false" ht="12.8" hidden="false" customHeight="false" outlineLevel="0" collapsed="false">
      <c r="B93" s="1" t="n">
        <v>133208</v>
      </c>
      <c r="C93" s="1" t="n">
        <v>-180507</v>
      </c>
    </row>
    <row r="94" customFormat="false" ht="12.8" hidden="false" customHeight="false" outlineLevel="0" collapsed="false">
      <c r="B94" s="1" t="n">
        <v>133191</v>
      </c>
      <c r="C94" s="1" t="n">
        <v>-180513</v>
      </c>
    </row>
    <row r="95" customFormat="false" ht="12.8" hidden="false" customHeight="false" outlineLevel="0" collapsed="false">
      <c r="B95" s="1" t="n">
        <v>133215</v>
      </c>
      <c r="C95" s="1" t="n">
        <v>-180535</v>
      </c>
    </row>
    <row r="96" customFormat="false" ht="12.8" hidden="false" customHeight="false" outlineLevel="0" collapsed="false">
      <c r="B96" s="1" t="n">
        <v>133258</v>
      </c>
      <c r="C96" s="1" t="n">
        <v>-180547</v>
      </c>
    </row>
    <row r="97" customFormat="false" ht="12.8" hidden="false" customHeight="false" outlineLevel="0" collapsed="false">
      <c r="B97" s="1" t="n">
        <v>133165</v>
      </c>
      <c r="C97" s="1" t="n">
        <v>-180568</v>
      </c>
    </row>
    <row r="98" customFormat="false" ht="12.8" hidden="false" customHeight="false" outlineLevel="0" collapsed="false">
      <c r="B98" s="1" t="n">
        <v>133184</v>
      </c>
      <c r="C98" s="1" t="n">
        <v>-180625</v>
      </c>
    </row>
    <row r="99" customFormat="false" ht="12.8" hidden="false" customHeight="false" outlineLevel="0" collapsed="false">
      <c r="B99" s="1" t="n">
        <v>133255</v>
      </c>
      <c r="C99" s="1" t="n">
        <v>-180571</v>
      </c>
    </row>
    <row r="100" customFormat="false" ht="12.8" hidden="false" customHeight="false" outlineLevel="0" collapsed="false">
      <c r="B100" s="1" t="n">
        <v>133218</v>
      </c>
      <c r="C100" s="1" t="n">
        <v>-180530</v>
      </c>
    </row>
    <row r="101" customFormat="false" ht="12.8" hidden="false" customHeight="false" outlineLevel="0" collapsed="false">
      <c r="B101" s="1" t="n">
        <v>133193</v>
      </c>
      <c r="C101" s="1" t="n">
        <v>-180518</v>
      </c>
    </row>
    <row r="102" customFormat="false" ht="12.8" hidden="false" customHeight="false" outlineLevel="0" collapsed="false">
      <c r="A102" s="1" t="s">
        <v>6</v>
      </c>
      <c r="B102" s="1" t="n">
        <f aca="false">AVERAGE(B3:B101)</f>
        <v>133267.212121212</v>
      </c>
      <c r="C102" s="1" t="n">
        <f aca="false">AVERAGE(C3:C101)</f>
        <v>-180592.717171717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2.8" hidden="false" customHeight="false" outlineLevel="0" collapsed="false">
      <c r="B1" s="2" t="s">
        <v>0</v>
      </c>
      <c r="C1" s="2" t="s">
        <v>1</v>
      </c>
    </row>
    <row r="2" customFormat="false" ht="12.8" hidden="false" customHeight="false" outlineLevel="0" collapsed="false">
      <c r="B2" s="2" t="s">
        <v>2</v>
      </c>
      <c r="C2" s="2" t="s">
        <v>3</v>
      </c>
    </row>
    <row r="3" customFormat="false" ht="12.8" hidden="false" customHeight="false" outlineLevel="0" collapsed="false">
      <c r="B3" s="1" t="n">
        <v>131919</v>
      </c>
      <c r="C3" s="2" t="n">
        <v>-183606</v>
      </c>
    </row>
    <row r="4" customFormat="false" ht="12.8" hidden="false" customHeight="false" outlineLevel="0" collapsed="false">
      <c r="B4" s="2" t="n">
        <v>131913</v>
      </c>
      <c r="C4" s="2" t="n">
        <v>-183590</v>
      </c>
    </row>
    <row r="5" customFormat="false" ht="12.8" hidden="false" customHeight="false" outlineLevel="0" collapsed="false">
      <c r="B5" s="2" t="n">
        <v>131903</v>
      </c>
      <c r="C5" s="2" t="n">
        <v>-183622</v>
      </c>
      <c r="F5" s="1" t="n">
        <v>0</v>
      </c>
      <c r="G5" s="1" t="n">
        <f aca="false">$B$102</f>
        <v>131868.474747475</v>
      </c>
      <c r="J5" s="1" t="s">
        <v>4</v>
      </c>
      <c r="K5" s="1" t="n">
        <f aca="false">(G5-G6)/(F5-F6)</f>
        <v>3154.05858585859</v>
      </c>
    </row>
    <row r="6" customFormat="false" ht="12.8" hidden="false" customHeight="false" outlineLevel="0" collapsed="false">
      <c r="B6" s="2" t="n">
        <v>131855</v>
      </c>
      <c r="C6" s="2" t="n">
        <v>-183624</v>
      </c>
      <c r="F6" s="1" t="n">
        <v>-100</v>
      </c>
      <c r="G6" s="1" t="n">
        <f aca="false">$C$102</f>
        <v>-183537.383838384</v>
      </c>
      <c r="J6" s="1" t="s">
        <v>5</v>
      </c>
      <c r="K6" s="1" t="n">
        <f aca="false">G5/K5</f>
        <v>41.8091392907903</v>
      </c>
    </row>
    <row r="7" customFormat="false" ht="12.8" hidden="false" customHeight="false" outlineLevel="0" collapsed="false">
      <c r="B7" s="2" t="n">
        <v>131858</v>
      </c>
      <c r="C7" s="2" t="n">
        <v>-183603</v>
      </c>
    </row>
    <row r="8" customFormat="false" ht="12.8" hidden="false" customHeight="false" outlineLevel="0" collapsed="false">
      <c r="B8" s="2" t="n">
        <v>131879</v>
      </c>
      <c r="C8" s="2" t="n">
        <v>-183612</v>
      </c>
    </row>
    <row r="9" customFormat="false" ht="12.8" hidden="false" customHeight="false" outlineLevel="0" collapsed="false">
      <c r="B9" s="2" t="n">
        <v>131877</v>
      </c>
      <c r="C9" s="2" t="n">
        <v>-183629</v>
      </c>
    </row>
    <row r="10" customFormat="false" ht="12.8" hidden="false" customHeight="false" outlineLevel="0" collapsed="false">
      <c r="B10" s="2" t="n">
        <v>131835</v>
      </c>
      <c r="C10" s="2" t="n">
        <v>-183616</v>
      </c>
    </row>
    <row r="11" customFormat="false" ht="12.8" hidden="false" customHeight="false" outlineLevel="0" collapsed="false">
      <c r="B11" s="2" t="n">
        <v>131865</v>
      </c>
      <c r="C11" s="2" t="n">
        <v>-183618</v>
      </c>
    </row>
    <row r="12" customFormat="false" ht="12.8" hidden="false" customHeight="false" outlineLevel="0" collapsed="false">
      <c r="B12" s="2" t="n">
        <v>131853</v>
      </c>
      <c r="C12" s="2" t="n">
        <v>-183628</v>
      </c>
    </row>
    <row r="13" customFormat="false" ht="12.8" hidden="false" customHeight="false" outlineLevel="0" collapsed="false">
      <c r="B13" s="2" t="n">
        <v>131888</v>
      </c>
      <c r="C13" s="2" t="n">
        <v>-183641</v>
      </c>
    </row>
    <row r="14" customFormat="false" ht="12.8" hidden="false" customHeight="false" outlineLevel="0" collapsed="false">
      <c r="B14" s="2" t="n">
        <v>131916</v>
      </c>
      <c r="C14" s="2" t="n">
        <v>-183646</v>
      </c>
    </row>
    <row r="15" customFormat="false" ht="12.8" hidden="false" customHeight="false" outlineLevel="0" collapsed="false">
      <c r="B15" s="2" t="n">
        <v>131869</v>
      </c>
      <c r="C15" s="2" t="n">
        <v>-183634</v>
      </c>
    </row>
    <row r="16" customFormat="false" ht="12.8" hidden="false" customHeight="false" outlineLevel="0" collapsed="false">
      <c r="B16" s="2" t="n">
        <v>131862</v>
      </c>
      <c r="C16" s="2" t="n">
        <v>-183629</v>
      </c>
    </row>
    <row r="17" customFormat="false" ht="12.8" hidden="false" customHeight="false" outlineLevel="0" collapsed="false">
      <c r="B17" s="2" t="n">
        <v>131890</v>
      </c>
      <c r="C17" s="2" t="n">
        <v>-183597</v>
      </c>
    </row>
    <row r="18" customFormat="false" ht="12.8" hidden="false" customHeight="false" outlineLevel="0" collapsed="false">
      <c r="B18" s="2" t="n">
        <v>131905</v>
      </c>
      <c r="C18" s="2" t="n">
        <v>-183607</v>
      </c>
    </row>
    <row r="19" customFormat="false" ht="12.8" hidden="false" customHeight="false" outlineLevel="0" collapsed="false">
      <c r="B19" s="2" t="n">
        <v>131919</v>
      </c>
      <c r="C19" s="2" t="n">
        <v>-183657</v>
      </c>
    </row>
    <row r="20" customFormat="false" ht="12.8" hidden="false" customHeight="false" outlineLevel="0" collapsed="false">
      <c r="B20" s="2" t="n">
        <v>131885</v>
      </c>
      <c r="C20" s="2" t="n">
        <v>-183644</v>
      </c>
    </row>
    <row r="21" customFormat="false" ht="12.8" hidden="false" customHeight="false" outlineLevel="0" collapsed="false">
      <c r="B21" s="2" t="n">
        <v>131843</v>
      </c>
      <c r="C21" s="2" t="n">
        <v>-183616</v>
      </c>
    </row>
    <row r="22" customFormat="false" ht="12.8" hidden="false" customHeight="false" outlineLevel="0" collapsed="false">
      <c r="B22" s="2" t="n">
        <v>131908</v>
      </c>
      <c r="C22" s="2" t="n">
        <v>-183697</v>
      </c>
    </row>
    <row r="23" customFormat="false" ht="12.8" hidden="false" customHeight="false" outlineLevel="0" collapsed="false">
      <c r="B23" s="2" t="n">
        <v>131921</v>
      </c>
      <c r="C23" s="2" t="n">
        <v>-183648</v>
      </c>
    </row>
    <row r="24" customFormat="false" ht="12.8" hidden="false" customHeight="false" outlineLevel="0" collapsed="false">
      <c r="B24" s="2" t="n">
        <v>131915</v>
      </c>
      <c r="C24" s="2" t="n">
        <v>-183598</v>
      </c>
    </row>
    <row r="25" customFormat="false" ht="12.8" hidden="false" customHeight="false" outlineLevel="0" collapsed="false">
      <c r="B25" s="2" t="n">
        <v>131939</v>
      </c>
      <c r="C25" s="2" t="n">
        <v>-183583</v>
      </c>
    </row>
    <row r="26" customFormat="false" ht="12.8" hidden="false" customHeight="false" outlineLevel="0" collapsed="false">
      <c r="B26" s="2" t="n">
        <v>131956</v>
      </c>
      <c r="C26" s="2" t="n">
        <v>-183608</v>
      </c>
    </row>
    <row r="27" customFormat="false" ht="12.8" hidden="false" customHeight="false" outlineLevel="0" collapsed="false">
      <c r="B27" s="2" t="n">
        <v>131941</v>
      </c>
      <c r="C27" s="2" t="n">
        <v>-183609</v>
      </c>
    </row>
    <row r="28" customFormat="false" ht="12.8" hidden="false" customHeight="false" outlineLevel="0" collapsed="false">
      <c r="B28" s="2" t="n">
        <v>131973</v>
      </c>
      <c r="C28" s="2" t="n">
        <v>-183591</v>
      </c>
    </row>
    <row r="29" customFormat="false" ht="12.8" hidden="false" customHeight="false" outlineLevel="0" collapsed="false">
      <c r="B29" s="2" t="n">
        <v>131919</v>
      </c>
      <c r="C29" s="2" t="n">
        <v>-183571</v>
      </c>
    </row>
    <row r="30" customFormat="false" ht="12.8" hidden="false" customHeight="false" outlineLevel="0" collapsed="false">
      <c r="B30" s="2" t="n">
        <v>131863</v>
      </c>
      <c r="C30" s="2" t="n">
        <v>-183628</v>
      </c>
    </row>
    <row r="31" customFormat="false" ht="12.8" hidden="false" customHeight="false" outlineLevel="0" collapsed="false">
      <c r="B31" s="2" t="n">
        <v>131841</v>
      </c>
      <c r="C31" s="2" t="n">
        <v>-183694</v>
      </c>
    </row>
    <row r="32" customFormat="false" ht="12.8" hidden="false" customHeight="false" outlineLevel="0" collapsed="false">
      <c r="B32" s="2" t="n">
        <v>131823</v>
      </c>
      <c r="C32" s="2" t="n">
        <v>-183654</v>
      </c>
    </row>
    <row r="33" customFormat="false" ht="12.8" hidden="false" customHeight="false" outlineLevel="0" collapsed="false">
      <c r="B33" s="2" t="n">
        <v>131898</v>
      </c>
      <c r="C33" s="2" t="n">
        <v>-183622</v>
      </c>
    </row>
    <row r="34" customFormat="false" ht="12.8" hidden="false" customHeight="false" outlineLevel="0" collapsed="false">
      <c r="B34" s="2" t="n">
        <v>131938</v>
      </c>
      <c r="C34" s="2" t="n">
        <v>-183631</v>
      </c>
    </row>
    <row r="35" customFormat="false" ht="12.8" hidden="false" customHeight="false" outlineLevel="0" collapsed="false">
      <c r="B35" s="2" t="n">
        <v>131904</v>
      </c>
      <c r="C35" s="2" t="n">
        <v>-183656</v>
      </c>
    </row>
    <row r="36" customFormat="false" ht="12.8" hidden="false" customHeight="false" outlineLevel="0" collapsed="false">
      <c r="B36" s="2" t="n">
        <v>131873</v>
      </c>
      <c r="C36" s="2" t="n">
        <v>-183647</v>
      </c>
    </row>
    <row r="37" customFormat="false" ht="12.8" hidden="false" customHeight="false" outlineLevel="0" collapsed="false">
      <c r="B37" s="2" t="n">
        <v>131874</v>
      </c>
      <c r="C37" s="2" t="n">
        <v>-183690</v>
      </c>
    </row>
    <row r="38" customFormat="false" ht="12.8" hidden="false" customHeight="false" outlineLevel="0" collapsed="false">
      <c r="B38" s="2" t="n">
        <v>131851</v>
      </c>
      <c r="C38" s="2" t="n">
        <v>-183645</v>
      </c>
    </row>
    <row r="39" customFormat="false" ht="12.8" hidden="false" customHeight="false" outlineLevel="0" collapsed="false">
      <c r="B39" s="2" t="n">
        <v>131869</v>
      </c>
      <c r="C39" s="2" t="n">
        <v>-183647</v>
      </c>
    </row>
    <row r="40" customFormat="false" ht="12.8" hidden="false" customHeight="false" outlineLevel="0" collapsed="false">
      <c r="B40" s="2" t="n">
        <v>131936</v>
      </c>
      <c r="C40" s="2" t="n">
        <v>-183653</v>
      </c>
    </row>
    <row r="41" customFormat="false" ht="12.8" hidden="false" customHeight="false" outlineLevel="0" collapsed="false">
      <c r="B41" s="2" t="n">
        <v>131922</v>
      </c>
      <c r="C41" s="2" t="n">
        <v>-183576</v>
      </c>
    </row>
    <row r="42" customFormat="false" ht="12.8" hidden="false" customHeight="false" outlineLevel="0" collapsed="false">
      <c r="B42" s="2" t="n">
        <v>131870</v>
      </c>
      <c r="C42" s="2" t="n">
        <v>-183605</v>
      </c>
    </row>
    <row r="43" customFormat="false" ht="12.8" hidden="false" customHeight="false" outlineLevel="0" collapsed="false">
      <c r="B43" s="2" t="n">
        <v>131923</v>
      </c>
      <c r="C43" s="2" t="n">
        <v>-183593</v>
      </c>
    </row>
    <row r="44" customFormat="false" ht="12.8" hidden="false" customHeight="false" outlineLevel="0" collapsed="false">
      <c r="B44" s="2" t="n">
        <v>131922</v>
      </c>
      <c r="C44" s="2" t="n">
        <v>-183616</v>
      </c>
    </row>
    <row r="45" customFormat="false" ht="12.8" hidden="false" customHeight="false" outlineLevel="0" collapsed="false">
      <c r="B45" s="2" t="n">
        <v>131894</v>
      </c>
      <c r="C45" s="2" t="n">
        <v>-183590</v>
      </c>
    </row>
    <row r="46" customFormat="false" ht="12.8" hidden="false" customHeight="false" outlineLevel="0" collapsed="false">
      <c r="B46" s="2" t="n">
        <v>131904</v>
      </c>
      <c r="C46" s="2" t="n">
        <v>-183552</v>
      </c>
    </row>
    <row r="47" customFormat="false" ht="12.8" hidden="false" customHeight="false" outlineLevel="0" collapsed="false">
      <c r="B47" s="2" t="n">
        <v>131898</v>
      </c>
      <c r="C47" s="2" t="n">
        <v>-183500</v>
      </c>
    </row>
    <row r="48" customFormat="false" ht="12.8" hidden="false" customHeight="false" outlineLevel="0" collapsed="false">
      <c r="B48" s="2" t="n">
        <v>131844</v>
      </c>
      <c r="C48" s="2" t="n">
        <v>-183523</v>
      </c>
    </row>
    <row r="49" customFormat="false" ht="12.8" hidden="false" customHeight="false" outlineLevel="0" collapsed="false">
      <c r="B49" s="2" t="n">
        <v>131890</v>
      </c>
      <c r="C49" s="2" t="n">
        <v>-183553</v>
      </c>
    </row>
    <row r="50" customFormat="false" ht="12.8" hidden="false" customHeight="false" outlineLevel="0" collapsed="false">
      <c r="B50" s="2" t="n">
        <v>131964</v>
      </c>
      <c r="C50" s="2" t="n">
        <v>-183576</v>
      </c>
    </row>
    <row r="51" customFormat="false" ht="12.8" hidden="false" customHeight="false" outlineLevel="0" collapsed="false">
      <c r="B51" s="2" t="n">
        <v>131969</v>
      </c>
      <c r="C51" s="2" t="n">
        <v>-183569</v>
      </c>
    </row>
    <row r="52" customFormat="false" ht="12.8" hidden="false" customHeight="false" outlineLevel="0" collapsed="false">
      <c r="B52" s="2" t="n">
        <v>131949</v>
      </c>
      <c r="C52" s="2" t="n">
        <v>-183567</v>
      </c>
    </row>
    <row r="53" customFormat="false" ht="12.8" hidden="false" customHeight="false" outlineLevel="0" collapsed="false">
      <c r="B53" s="2" t="n">
        <v>131935</v>
      </c>
      <c r="C53" s="2" t="n">
        <v>-183488</v>
      </c>
    </row>
    <row r="54" customFormat="false" ht="12.8" hidden="false" customHeight="false" outlineLevel="0" collapsed="false">
      <c r="B54" s="2" t="n">
        <v>131979</v>
      </c>
      <c r="C54" s="2" t="n">
        <v>-183530</v>
      </c>
    </row>
    <row r="55" customFormat="false" ht="12.8" hidden="false" customHeight="false" outlineLevel="0" collapsed="false">
      <c r="B55" s="1" t="n">
        <v>131982</v>
      </c>
      <c r="C55" s="1" t="n">
        <v>-183488</v>
      </c>
    </row>
    <row r="56" customFormat="false" ht="12.8" hidden="false" customHeight="false" outlineLevel="0" collapsed="false">
      <c r="B56" s="1" t="n">
        <v>131927</v>
      </c>
      <c r="C56" s="1" t="n">
        <v>-183452</v>
      </c>
    </row>
    <row r="57" customFormat="false" ht="12.8" hidden="false" customHeight="false" outlineLevel="0" collapsed="false">
      <c r="B57" s="1" t="n">
        <v>131915</v>
      </c>
      <c r="C57" s="1" t="n">
        <v>-183506</v>
      </c>
    </row>
    <row r="58" customFormat="false" ht="12.8" hidden="false" customHeight="false" outlineLevel="0" collapsed="false">
      <c r="B58" s="1" t="n">
        <v>131945</v>
      </c>
      <c r="C58" s="1" t="n">
        <v>-183502</v>
      </c>
    </row>
    <row r="59" customFormat="false" ht="12.8" hidden="false" customHeight="false" outlineLevel="0" collapsed="false">
      <c r="B59" s="1" t="n">
        <v>131918</v>
      </c>
      <c r="C59" s="1" t="n">
        <v>-183521</v>
      </c>
    </row>
    <row r="60" customFormat="false" ht="12.8" hidden="false" customHeight="false" outlineLevel="0" collapsed="false">
      <c r="B60" s="1" t="n">
        <v>131936</v>
      </c>
      <c r="C60" s="1" t="n">
        <v>-183498</v>
      </c>
    </row>
    <row r="61" customFormat="false" ht="12.8" hidden="false" customHeight="false" outlineLevel="0" collapsed="false">
      <c r="B61" s="1" t="n">
        <v>131985</v>
      </c>
      <c r="C61" s="1" t="n">
        <v>-183418</v>
      </c>
    </row>
    <row r="62" customFormat="false" ht="12.8" hidden="false" customHeight="false" outlineLevel="0" collapsed="false">
      <c r="B62" s="1" t="n">
        <v>131980</v>
      </c>
      <c r="C62" s="1" t="n">
        <v>-183432</v>
      </c>
    </row>
    <row r="63" customFormat="false" ht="12.8" hidden="false" customHeight="false" outlineLevel="0" collapsed="false">
      <c r="B63" s="1" t="n">
        <v>131967</v>
      </c>
      <c r="C63" s="1" t="n">
        <v>-183488</v>
      </c>
    </row>
    <row r="64" customFormat="false" ht="12.8" hidden="false" customHeight="false" outlineLevel="0" collapsed="false">
      <c r="B64" s="1" t="n">
        <v>131975</v>
      </c>
      <c r="C64" s="1" t="n">
        <v>-183471</v>
      </c>
    </row>
    <row r="65" customFormat="false" ht="12.8" hidden="false" customHeight="false" outlineLevel="0" collapsed="false">
      <c r="B65" s="1" t="n">
        <v>131912</v>
      </c>
      <c r="C65" s="1" t="n">
        <v>-183469</v>
      </c>
    </row>
    <row r="66" customFormat="false" ht="12.8" hidden="false" customHeight="false" outlineLevel="0" collapsed="false">
      <c r="B66" s="1" t="n">
        <v>131905</v>
      </c>
      <c r="C66" s="1" t="n">
        <v>-183388</v>
      </c>
    </row>
    <row r="67" customFormat="false" ht="12.8" hidden="false" customHeight="false" outlineLevel="0" collapsed="false">
      <c r="B67" s="1" t="n">
        <v>131901</v>
      </c>
      <c r="C67" s="1" t="n">
        <v>-183405</v>
      </c>
    </row>
    <row r="68" customFormat="false" ht="12.8" hidden="false" customHeight="false" outlineLevel="0" collapsed="false">
      <c r="B68" s="1" t="n">
        <v>131878</v>
      </c>
      <c r="C68" s="1" t="n">
        <v>-183424</v>
      </c>
    </row>
    <row r="69" customFormat="false" ht="12.8" hidden="false" customHeight="false" outlineLevel="0" collapsed="false">
      <c r="B69" s="1" t="n">
        <v>131889</v>
      </c>
      <c r="C69" s="1" t="n">
        <v>-183433</v>
      </c>
    </row>
    <row r="70" customFormat="false" ht="12.8" hidden="false" customHeight="false" outlineLevel="0" collapsed="false">
      <c r="B70" s="1" t="n">
        <v>131874</v>
      </c>
      <c r="C70" s="1" t="n">
        <v>-183458</v>
      </c>
    </row>
    <row r="71" customFormat="false" ht="12.8" hidden="false" customHeight="false" outlineLevel="0" collapsed="false">
      <c r="B71" s="1" t="n">
        <v>131878</v>
      </c>
      <c r="C71" s="1" t="n">
        <v>-183480</v>
      </c>
    </row>
    <row r="72" customFormat="false" ht="12.8" hidden="false" customHeight="false" outlineLevel="0" collapsed="false">
      <c r="B72" s="1" t="n">
        <v>131834</v>
      </c>
      <c r="C72" s="1" t="n">
        <v>-183395</v>
      </c>
    </row>
    <row r="73" customFormat="false" ht="12.8" hidden="false" customHeight="false" outlineLevel="0" collapsed="false">
      <c r="B73" s="1" t="n">
        <v>131876</v>
      </c>
      <c r="C73" s="1" t="n">
        <v>-183368</v>
      </c>
    </row>
    <row r="74" customFormat="false" ht="12.8" hidden="false" customHeight="false" outlineLevel="0" collapsed="false">
      <c r="B74" s="1" t="n">
        <v>131884</v>
      </c>
      <c r="C74" s="1" t="n">
        <v>-183470</v>
      </c>
    </row>
    <row r="75" customFormat="false" ht="12.8" hidden="false" customHeight="false" outlineLevel="0" collapsed="false">
      <c r="B75" s="1" t="n">
        <v>131875</v>
      </c>
      <c r="C75" s="1" t="n">
        <v>-183460</v>
      </c>
    </row>
    <row r="76" customFormat="false" ht="12.8" hidden="false" customHeight="false" outlineLevel="0" collapsed="false">
      <c r="B76" s="1" t="n">
        <v>131872</v>
      </c>
      <c r="C76" s="1" t="n">
        <v>-183431</v>
      </c>
    </row>
    <row r="77" customFormat="false" ht="12.8" hidden="false" customHeight="false" outlineLevel="0" collapsed="false">
      <c r="B77" s="1" t="n">
        <v>131883</v>
      </c>
      <c r="C77" s="1" t="n">
        <v>-183437</v>
      </c>
    </row>
    <row r="78" customFormat="false" ht="12.8" hidden="false" customHeight="false" outlineLevel="0" collapsed="false">
      <c r="B78" s="1" t="n">
        <v>131841</v>
      </c>
      <c r="C78" s="1" t="n">
        <v>-183413</v>
      </c>
    </row>
    <row r="79" customFormat="false" ht="12.8" hidden="false" customHeight="false" outlineLevel="0" collapsed="false">
      <c r="B79" s="1" t="n">
        <v>131822</v>
      </c>
      <c r="C79" s="1" t="n">
        <v>-183422</v>
      </c>
    </row>
    <row r="80" customFormat="false" ht="12.8" hidden="false" customHeight="false" outlineLevel="0" collapsed="false">
      <c r="B80" s="1" t="n">
        <v>131845</v>
      </c>
      <c r="C80" s="1" t="n">
        <v>-183399</v>
      </c>
    </row>
    <row r="81" customFormat="false" ht="12.8" hidden="false" customHeight="false" outlineLevel="0" collapsed="false">
      <c r="B81" s="1" t="n">
        <v>131873</v>
      </c>
      <c r="C81" s="1" t="n">
        <v>-183464</v>
      </c>
    </row>
    <row r="82" customFormat="false" ht="12.8" hidden="false" customHeight="false" outlineLevel="0" collapsed="false">
      <c r="B82" s="1" t="n">
        <v>131886</v>
      </c>
      <c r="C82" s="1" t="n">
        <v>-183481</v>
      </c>
    </row>
    <row r="83" customFormat="false" ht="12.8" hidden="false" customHeight="false" outlineLevel="0" collapsed="false">
      <c r="B83" s="1" t="n">
        <v>131881</v>
      </c>
      <c r="C83" s="1" t="n">
        <v>-183455</v>
      </c>
    </row>
    <row r="84" customFormat="false" ht="12.8" hidden="false" customHeight="false" outlineLevel="0" collapsed="false">
      <c r="B84" s="1" t="n">
        <v>131826</v>
      </c>
      <c r="C84" s="1" t="n">
        <v>-183424</v>
      </c>
    </row>
    <row r="85" customFormat="false" ht="12.8" hidden="false" customHeight="false" outlineLevel="0" collapsed="false">
      <c r="B85" s="1" t="n">
        <v>131783</v>
      </c>
      <c r="C85" s="1" t="n">
        <v>-183438</v>
      </c>
    </row>
    <row r="86" customFormat="false" ht="12.8" hidden="false" customHeight="false" outlineLevel="0" collapsed="false">
      <c r="B86" s="1" t="n">
        <v>131794</v>
      </c>
      <c r="C86" s="1" t="n">
        <v>-183420</v>
      </c>
    </row>
    <row r="87" customFormat="false" ht="12.8" hidden="false" customHeight="false" outlineLevel="0" collapsed="false">
      <c r="B87" s="1" t="n">
        <v>131795</v>
      </c>
      <c r="C87" s="1" t="n">
        <v>-183445</v>
      </c>
    </row>
    <row r="88" customFormat="false" ht="12.8" hidden="false" customHeight="false" outlineLevel="0" collapsed="false">
      <c r="B88" s="1" t="n">
        <v>131765</v>
      </c>
      <c r="C88" s="1" t="n">
        <v>-183443</v>
      </c>
    </row>
    <row r="89" customFormat="false" ht="12.8" hidden="false" customHeight="false" outlineLevel="0" collapsed="false">
      <c r="B89" s="1" t="n">
        <v>131758</v>
      </c>
      <c r="C89" s="1" t="n">
        <v>-183461</v>
      </c>
    </row>
    <row r="90" customFormat="false" ht="12.8" hidden="false" customHeight="false" outlineLevel="0" collapsed="false">
      <c r="B90" s="1" t="n">
        <v>131757</v>
      </c>
      <c r="C90" s="1" t="n">
        <v>-183470</v>
      </c>
    </row>
    <row r="91" customFormat="false" ht="12.8" hidden="false" customHeight="false" outlineLevel="0" collapsed="false">
      <c r="B91" s="1" t="n">
        <v>131739</v>
      </c>
      <c r="C91" s="1" t="n">
        <v>-183454</v>
      </c>
    </row>
    <row r="92" customFormat="false" ht="12.8" hidden="false" customHeight="false" outlineLevel="0" collapsed="false">
      <c r="B92" s="1" t="n">
        <v>131729</v>
      </c>
      <c r="C92" s="1" t="n">
        <v>-183501</v>
      </c>
    </row>
    <row r="93" customFormat="false" ht="12.8" hidden="false" customHeight="false" outlineLevel="0" collapsed="false">
      <c r="B93" s="1" t="n">
        <v>131730</v>
      </c>
      <c r="C93" s="1" t="n">
        <v>-183511</v>
      </c>
    </row>
    <row r="94" customFormat="false" ht="12.8" hidden="false" customHeight="false" outlineLevel="0" collapsed="false">
      <c r="B94" s="1" t="n">
        <v>131727</v>
      </c>
      <c r="C94" s="1" t="n">
        <v>-183506</v>
      </c>
    </row>
    <row r="95" customFormat="false" ht="12.8" hidden="false" customHeight="false" outlineLevel="0" collapsed="false">
      <c r="B95" s="1" t="n">
        <v>131710</v>
      </c>
      <c r="C95" s="1" t="n">
        <v>-183481</v>
      </c>
    </row>
    <row r="96" customFormat="false" ht="12.8" hidden="false" customHeight="false" outlineLevel="0" collapsed="false">
      <c r="B96" s="1" t="n">
        <v>131692</v>
      </c>
      <c r="C96" s="1" t="n">
        <v>-183457</v>
      </c>
    </row>
    <row r="97" customFormat="false" ht="12.8" hidden="false" customHeight="false" outlineLevel="0" collapsed="false">
      <c r="B97" s="1" t="n">
        <v>131693</v>
      </c>
      <c r="C97" s="1" t="n">
        <v>-183468</v>
      </c>
    </row>
    <row r="98" customFormat="false" ht="12.8" hidden="false" customHeight="false" outlineLevel="0" collapsed="false">
      <c r="B98" s="1" t="n">
        <v>131653</v>
      </c>
      <c r="C98" s="1" t="n">
        <v>-183491</v>
      </c>
    </row>
    <row r="99" customFormat="false" ht="12.8" hidden="false" customHeight="false" outlineLevel="0" collapsed="false">
      <c r="B99" s="1" t="n">
        <v>131634</v>
      </c>
      <c r="C99" s="1" t="n">
        <v>-183491</v>
      </c>
    </row>
    <row r="100" customFormat="false" ht="12.8" hidden="false" customHeight="false" outlineLevel="0" collapsed="false">
      <c r="B100" s="1" t="n">
        <v>131659</v>
      </c>
      <c r="C100" s="1" t="n">
        <v>-183513</v>
      </c>
    </row>
    <row r="101" customFormat="false" ht="12.8" hidden="false" customHeight="false" outlineLevel="0" collapsed="false">
      <c r="B101" s="1" t="n">
        <v>131657</v>
      </c>
      <c r="C101" s="1" t="n">
        <v>-183470</v>
      </c>
    </row>
    <row r="102" customFormat="false" ht="12.8" hidden="false" customHeight="false" outlineLevel="0" collapsed="false">
      <c r="A102" s="1" t="s">
        <v>6</v>
      </c>
      <c r="B102" s="1" t="n">
        <f aca="false">AVERAGE(B3:B101)</f>
        <v>131868.474747475</v>
      </c>
      <c r="C102" s="1" t="n">
        <f aca="false">AVERAGE(C3:C101)</f>
        <v>-183537.383838384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2.8" hidden="false" customHeight="false" outlineLevel="0" collapsed="false">
      <c r="B1" s="2" t="s">
        <v>0</v>
      </c>
      <c r="C1" s="2" t="s">
        <v>1</v>
      </c>
    </row>
    <row r="2" customFormat="false" ht="12.8" hidden="false" customHeight="false" outlineLevel="0" collapsed="false">
      <c r="B2" s="2" t="s">
        <v>2</v>
      </c>
      <c r="C2" s="2" t="s">
        <v>3</v>
      </c>
    </row>
    <row r="3" customFormat="false" ht="12.8" hidden="false" customHeight="false" outlineLevel="0" collapsed="false">
      <c r="B3" s="1" t="n">
        <v>129325</v>
      </c>
      <c r="C3" s="2" t="n">
        <v>-184243</v>
      </c>
    </row>
    <row r="4" customFormat="false" ht="12.8" hidden="false" customHeight="false" outlineLevel="0" collapsed="false">
      <c r="B4" s="2" t="n">
        <v>129320</v>
      </c>
      <c r="C4" s="2" t="n">
        <v>-184239</v>
      </c>
    </row>
    <row r="5" customFormat="false" ht="12.8" hidden="false" customHeight="false" outlineLevel="0" collapsed="false">
      <c r="B5" s="2" t="n">
        <v>129300</v>
      </c>
      <c r="C5" s="2" t="n">
        <v>-184241</v>
      </c>
      <c r="F5" s="1" t="n">
        <v>0</v>
      </c>
      <c r="G5" s="1" t="n">
        <f aca="false">$B$102</f>
        <v>129322.02020202</v>
      </c>
      <c r="J5" s="1" t="s">
        <v>4</v>
      </c>
      <c r="K5" s="1" t="n">
        <f aca="false">(G5-G6)/(F5-F6)</f>
        <v>3134.73454545455</v>
      </c>
    </row>
    <row r="6" customFormat="false" ht="12.8" hidden="false" customHeight="false" outlineLevel="0" collapsed="false">
      <c r="B6" s="2" t="n">
        <v>129304</v>
      </c>
      <c r="C6" s="2" t="n">
        <v>-184177</v>
      </c>
      <c r="F6" s="1" t="n">
        <v>-100</v>
      </c>
      <c r="G6" s="1" t="n">
        <f aca="false">$C$102</f>
        <v>-184151.434343434</v>
      </c>
      <c r="J6" s="1" t="s">
        <v>5</v>
      </c>
      <c r="K6" s="1" t="n">
        <f aca="false">G5/K5</f>
        <v>41.2545363337195</v>
      </c>
    </row>
    <row r="7" customFormat="false" ht="12.8" hidden="false" customHeight="false" outlineLevel="0" collapsed="false">
      <c r="B7" s="2" t="n">
        <v>129339</v>
      </c>
      <c r="C7" s="2" t="n">
        <v>-184230</v>
      </c>
    </row>
    <row r="8" customFormat="false" ht="12.8" hidden="false" customHeight="false" outlineLevel="0" collapsed="false">
      <c r="B8" s="2" t="n">
        <v>129394</v>
      </c>
      <c r="C8" s="2" t="n">
        <v>-184218</v>
      </c>
    </row>
    <row r="9" customFormat="false" ht="12.8" hidden="false" customHeight="false" outlineLevel="0" collapsed="false">
      <c r="B9" s="2" t="n">
        <v>129390</v>
      </c>
      <c r="C9" s="2" t="n">
        <v>-184193</v>
      </c>
    </row>
    <row r="10" customFormat="false" ht="12.8" hidden="false" customHeight="false" outlineLevel="0" collapsed="false">
      <c r="B10" s="2" t="n">
        <v>129322</v>
      </c>
      <c r="C10" s="2" t="n">
        <v>-184183</v>
      </c>
    </row>
    <row r="11" customFormat="false" ht="12.8" hidden="false" customHeight="false" outlineLevel="0" collapsed="false">
      <c r="B11" s="2" t="n">
        <v>129336</v>
      </c>
      <c r="C11" s="2" t="n">
        <v>-184230</v>
      </c>
    </row>
    <row r="12" customFormat="false" ht="12.8" hidden="false" customHeight="false" outlineLevel="0" collapsed="false">
      <c r="B12" s="2" t="n">
        <v>129372</v>
      </c>
      <c r="C12" s="2" t="n">
        <v>-184237</v>
      </c>
    </row>
    <row r="13" customFormat="false" ht="12.8" hidden="false" customHeight="false" outlineLevel="0" collapsed="false">
      <c r="B13" s="2" t="n">
        <v>129380</v>
      </c>
      <c r="C13" s="2" t="n">
        <v>-184197</v>
      </c>
    </row>
    <row r="14" customFormat="false" ht="12.8" hidden="false" customHeight="false" outlineLevel="0" collapsed="false">
      <c r="B14" s="2" t="n">
        <v>129363</v>
      </c>
      <c r="C14" s="2" t="n">
        <v>-184189</v>
      </c>
    </row>
    <row r="15" customFormat="false" ht="12.8" hidden="false" customHeight="false" outlineLevel="0" collapsed="false">
      <c r="B15" s="2" t="n">
        <v>129353</v>
      </c>
      <c r="C15" s="2" t="n">
        <v>-184163</v>
      </c>
    </row>
    <row r="16" customFormat="false" ht="12.8" hidden="false" customHeight="false" outlineLevel="0" collapsed="false">
      <c r="B16" s="2" t="n">
        <v>129415</v>
      </c>
      <c r="C16" s="2" t="n">
        <v>-184163</v>
      </c>
    </row>
    <row r="17" customFormat="false" ht="12.8" hidden="false" customHeight="false" outlineLevel="0" collapsed="false">
      <c r="B17" s="2" t="n">
        <v>129383</v>
      </c>
      <c r="C17" s="2" t="n">
        <v>-184224</v>
      </c>
    </row>
    <row r="18" customFormat="false" ht="12.8" hidden="false" customHeight="false" outlineLevel="0" collapsed="false">
      <c r="B18" s="2" t="n">
        <v>129345</v>
      </c>
      <c r="C18" s="2" t="n">
        <v>-184198</v>
      </c>
    </row>
    <row r="19" customFormat="false" ht="12.8" hidden="false" customHeight="false" outlineLevel="0" collapsed="false">
      <c r="B19" s="2" t="n">
        <v>129347</v>
      </c>
      <c r="C19" s="2" t="n">
        <v>-184155</v>
      </c>
    </row>
    <row r="20" customFormat="false" ht="12.8" hidden="false" customHeight="false" outlineLevel="0" collapsed="false">
      <c r="B20" s="2" t="n">
        <v>129356</v>
      </c>
      <c r="C20" s="2" t="n">
        <v>-184146</v>
      </c>
    </row>
    <row r="21" customFormat="false" ht="12.8" hidden="false" customHeight="false" outlineLevel="0" collapsed="false">
      <c r="B21" s="2" t="n">
        <v>129312</v>
      </c>
      <c r="C21" s="2" t="n">
        <v>-184095</v>
      </c>
    </row>
    <row r="22" customFormat="false" ht="12.8" hidden="false" customHeight="false" outlineLevel="0" collapsed="false">
      <c r="B22" s="2" t="n">
        <v>129325</v>
      </c>
      <c r="C22" s="2" t="n">
        <v>-184143</v>
      </c>
    </row>
    <row r="23" customFormat="false" ht="12.8" hidden="false" customHeight="false" outlineLevel="0" collapsed="false">
      <c r="B23" s="2" t="n">
        <v>129343</v>
      </c>
      <c r="C23" s="2" t="n">
        <v>-184164</v>
      </c>
    </row>
    <row r="24" customFormat="false" ht="12.8" hidden="false" customHeight="false" outlineLevel="0" collapsed="false">
      <c r="B24" s="2" t="n">
        <v>129351</v>
      </c>
      <c r="C24" s="2" t="n">
        <v>-184109</v>
      </c>
    </row>
    <row r="25" customFormat="false" ht="12.8" hidden="false" customHeight="false" outlineLevel="0" collapsed="false">
      <c r="B25" s="2" t="n">
        <v>129327</v>
      </c>
      <c r="C25" s="2" t="n">
        <v>-184043</v>
      </c>
    </row>
    <row r="26" customFormat="false" ht="12.8" hidden="false" customHeight="false" outlineLevel="0" collapsed="false">
      <c r="B26" s="2" t="n">
        <v>129375</v>
      </c>
      <c r="C26" s="2" t="n">
        <v>-184053</v>
      </c>
    </row>
    <row r="27" customFormat="false" ht="12.8" hidden="false" customHeight="false" outlineLevel="0" collapsed="false">
      <c r="B27" s="2" t="n">
        <v>129332</v>
      </c>
      <c r="C27" s="2" t="n">
        <v>-184092</v>
      </c>
    </row>
    <row r="28" customFormat="false" ht="12.8" hidden="false" customHeight="false" outlineLevel="0" collapsed="false">
      <c r="B28" s="2" t="n">
        <v>129325</v>
      </c>
      <c r="C28" s="2" t="n">
        <v>-184100</v>
      </c>
    </row>
    <row r="29" customFormat="false" ht="12.8" hidden="false" customHeight="false" outlineLevel="0" collapsed="false">
      <c r="B29" s="2" t="n">
        <v>129321</v>
      </c>
      <c r="C29" s="2" t="n">
        <v>-184067</v>
      </c>
    </row>
    <row r="30" customFormat="false" ht="12.8" hidden="false" customHeight="false" outlineLevel="0" collapsed="false">
      <c r="B30" s="2" t="n">
        <v>129355</v>
      </c>
      <c r="C30" s="2" t="n">
        <v>-184040</v>
      </c>
    </row>
    <row r="31" customFormat="false" ht="12.8" hidden="false" customHeight="false" outlineLevel="0" collapsed="false">
      <c r="B31" s="2" t="n">
        <v>129379</v>
      </c>
      <c r="C31" s="2" t="n">
        <v>-184043</v>
      </c>
    </row>
    <row r="32" customFormat="false" ht="12.8" hidden="false" customHeight="false" outlineLevel="0" collapsed="false">
      <c r="B32" s="2" t="n">
        <v>129354</v>
      </c>
      <c r="C32" s="2" t="n">
        <v>-184017</v>
      </c>
    </row>
    <row r="33" customFormat="false" ht="12.8" hidden="false" customHeight="false" outlineLevel="0" collapsed="false">
      <c r="B33" s="2" t="n">
        <v>129290</v>
      </c>
      <c r="C33" s="2" t="n">
        <v>-184037</v>
      </c>
    </row>
    <row r="34" customFormat="false" ht="12.8" hidden="false" customHeight="false" outlineLevel="0" collapsed="false">
      <c r="B34" s="2" t="n">
        <v>129282</v>
      </c>
      <c r="C34" s="2" t="n">
        <v>-184005</v>
      </c>
    </row>
    <row r="35" customFormat="false" ht="12.8" hidden="false" customHeight="false" outlineLevel="0" collapsed="false">
      <c r="B35" s="2" t="n">
        <v>129280</v>
      </c>
      <c r="C35" s="2" t="n">
        <v>-183963</v>
      </c>
    </row>
    <row r="36" customFormat="false" ht="12.8" hidden="false" customHeight="false" outlineLevel="0" collapsed="false">
      <c r="B36" s="2" t="n">
        <v>129323</v>
      </c>
      <c r="C36" s="2" t="n">
        <v>-184010</v>
      </c>
    </row>
    <row r="37" customFormat="false" ht="12.8" hidden="false" customHeight="false" outlineLevel="0" collapsed="false">
      <c r="B37" s="2" t="n">
        <v>129326</v>
      </c>
      <c r="C37" s="2" t="n">
        <v>-183970</v>
      </c>
    </row>
    <row r="38" customFormat="false" ht="12.8" hidden="false" customHeight="false" outlineLevel="0" collapsed="false">
      <c r="B38" s="2" t="n">
        <v>129310</v>
      </c>
      <c r="C38" s="2" t="n">
        <v>-183987</v>
      </c>
    </row>
    <row r="39" customFormat="false" ht="12.8" hidden="false" customHeight="false" outlineLevel="0" collapsed="false">
      <c r="B39" s="2" t="n">
        <v>129306</v>
      </c>
      <c r="C39" s="2" t="n">
        <v>-184007</v>
      </c>
    </row>
    <row r="40" customFormat="false" ht="12.8" hidden="false" customHeight="false" outlineLevel="0" collapsed="false">
      <c r="B40" s="2" t="n">
        <v>129289</v>
      </c>
      <c r="C40" s="2" t="n">
        <v>-183980</v>
      </c>
    </row>
    <row r="41" customFormat="false" ht="12.8" hidden="false" customHeight="false" outlineLevel="0" collapsed="false">
      <c r="B41" s="2" t="n">
        <v>129248</v>
      </c>
      <c r="C41" s="2" t="n">
        <v>-184017</v>
      </c>
    </row>
    <row r="42" customFormat="false" ht="12.8" hidden="false" customHeight="false" outlineLevel="0" collapsed="false">
      <c r="B42" s="2" t="n">
        <v>129254</v>
      </c>
      <c r="C42" s="2" t="n">
        <v>-183979</v>
      </c>
    </row>
    <row r="43" customFormat="false" ht="12.8" hidden="false" customHeight="false" outlineLevel="0" collapsed="false">
      <c r="B43" s="2" t="n">
        <v>129321</v>
      </c>
      <c r="C43" s="2" t="n">
        <v>-184032</v>
      </c>
    </row>
    <row r="44" customFormat="false" ht="12.8" hidden="false" customHeight="false" outlineLevel="0" collapsed="false">
      <c r="B44" s="2" t="n">
        <v>129236</v>
      </c>
      <c r="C44" s="2" t="n">
        <v>-184013</v>
      </c>
    </row>
    <row r="45" customFormat="false" ht="12.8" hidden="false" customHeight="false" outlineLevel="0" collapsed="false">
      <c r="B45" s="2" t="n">
        <v>129223</v>
      </c>
      <c r="C45" s="2" t="n">
        <v>-184026</v>
      </c>
    </row>
    <row r="46" customFormat="false" ht="12.8" hidden="false" customHeight="false" outlineLevel="0" collapsed="false">
      <c r="B46" s="2" t="n">
        <v>129255</v>
      </c>
      <c r="C46" s="2" t="n">
        <v>-183987</v>
      </c>
    </row>
    <row r="47" customFormat="false" ht="12.8" hidden="false" customHeight="false" outlineLevel="0" collapsed="false">
      <c r="B47" s="2" t="n">
        <v>129260</v>
      </c>
      <c r="C47" s="2" t="n">
        <v>-183934</v>
      </c>
    </row>
    <row r="48" customFormat="false" ht="12.8" hidden="false" customHeight="false" outlineLevel="0" collapsed="false">
      <c r="B48" s="2" t="n">
        <v>129280</v>
      </c>
      <c r="C48" s="2" t="n">
        <v>-183950</v>
      </c>
    </row>
    <row r="49" customFormat="false" ht="12.8" hidden="false" customHeight="false" outlineLevel="0" collapsed="false">
      <c r="B49" s="2" t="n">
        <v>129279</v>
      </c>
      <c r="C49" s="2" t="n">
        <v>-184017</v>
      </c>
    </row>
    <row r="50" customFormat="false" ht="12.8" hidden="false" customHeight="false" outlineLevel="0" collapsed="false">
      <c r="B50" s="2" t="n">
        <v>129252</v>
      </c>
      <c r="C50" s="2" t="n">
        <v>-184001</v>
      </c>
    </row>
    <row r="51" customFormat="false" ht="12.8" hidden="false" customHeight="false" outlineLevel="0" collapsed="false">
      <c r="B51" s="2" t="n">
        <v>129269</v>
      </c>
      <c r="C51" s="2" t="n">
        <v>-183997</v>
      </c>
    </row>
    <row r="52" customFormat="false" ht="12.8" hidden="false" customHeight="false" outlineLevel="0" collapsed="false">
      <c r="B52" s="2" t="n">
        <v>129248</v>
      </c>
      <c r="C52" s="2" t="n">
        <v>-184058</v>
      </c>
    </row>
    <row r="53" customFormat="false" ht="12.8" hidden="false" customHeight="false" outlineLevel="0" collapsed="false">
      <c r="B53" s="2" t="n">
        <v>129229</v>
      </c>
      <c r="C53" s="2" t="n">
        <v>-184062</v>
      </c>
    </row>
    <row r="54" customFormat="false" ht="12.8" hidden="false" customHeight="false" outlineLevel="0" collapsed="false">
      <c r="B54" s="2" t="n">
        <v>129218</v>
      </c>
      <c r="C54" s="2" t="n">
        <v>-184040</v>
      </c>
    </row>
    <row r="55" customFormat="false" ht="12.8" hidden="false" customHeight="false" outlineLevel="0" collapsed="false">
      <c r="B55" s="1" t="n">
        <v>129210</v>
      </c>
      <c r="C55" s="1" t="n">
        <v>-183988</v>
      </c>
    </row>
    <row r="56" customFormat="false" ht="12.8" hidden="false" customHeight="false" outlineLevel="0" collapsed="false">
      <c r="B56" s="1" t="n">
        <v>129306</v>
      </c>
      <c r="C56" s="1" t="n">
        <v>-184078</v>
      </c>
    </row>
    <row r="57" customFormat="false" ht="12.8" hidden="false" customHeight="false" outlineLevel="0" collapsed="false">
      <c r="B57" s="1" t="n">
        <v>129325</v>
      </c>
      <c r="C57" s="1" t="n">
        <v>-184097</v>
      </c>
    </row>
    <row r="58" customFormat="false" ht="12.8" hidden="false" customHeight="false" outlineLevel="0" collapsed="false">
      <c r="B58" s="1" t="n">
        <v>129296</v>
      </c>
      <c r="C58" s="1" t="n">
        <v>-184090</v>
      </c>
    </row>
    <row r="59" customFormat="false" ht="12.8" hidden="false" customHeight="false" outlineLevel="0" collapsed="false">
      <c r="B59" s="1" t="n">
        <v>129291</v>
      </c>
      <c r="C59" s="1" t="n">
        <v>-184098</v>
      </c>
    </row>
    <row r="60" customFormat="false" ht="12.8" hidden="false" customHeight="false" outlineLevel="0" collapsed="false">
      <c r="B60" s="1" t="n">
        <v>129284</v>
      </c>
      <c r="C60" s="1" t="n">
        <v>-184100</v>
      </c>
    </row>
    <row r="61" customFormat="false" ht="12.8" hidden="false" customHeight="false" outlineLevel="0" collapsed="false">
      <c r="B61" s="1" t="n">
        <v>129272</v>
      </c>
      <c r="C61" s="1" t="n">
        <v>-184100</v>
      </c>
    </row>
    <row r="62" customFormat="false" ht="12.8" hidden="false" customHeight="false" outlineLevel="0" collapsed="false">
      <c r="B62" s="1" t="n">
        <v>129263</v>
      </c>
      <c r="C62" s="1" t="n">
        <v>-184145</v>
      </c>
    </row>
    <row r="63" customFormat="false" ht="12.8" hidden="false" customHeight="false" outlineLevel="0" collapsed="false">
      <c r="B63" s="1" t="n">
        <v>129286</v>
      </c>
      <c r="C63" s="1" t="n">
        <v>-184123</v>
      </c>
    </row>
    <row r="64" customFormat="false" ht="12.8" hidden="false" customHeight="false" outlineLevel="0" collapsed="false">
      <c r="B64" s="1" t="n">
        <v>129295</v>
      </c>
      <c r="C64" s="1" t="n">
        <v>-184133</v>
      </c>
    </row>
    <row r="65" customFormat="false" ht="12.8" hidden="false" customHeight="false" outlineLevel="0" collapsed="false">
      <c r="B65" s="1" t="n">
        <v>129269</v>
      </c>
      <c r="C65" s="1" t="n">
        <v>-184194</v>
      </c>
    </row>
    <row r="66" customFormat="false" ht="12.8" hidden="false" customHeight="false" outlineLevel="0" collapsed="false">
      <c r="B66" s="1" t="n">
        <v>129282</v>
      </c>
      <c r="C66" s="1" t="n">
        <v>-184170</v>
      </c>
    </row>
    <row r="67" customFormat="false" ht="12.8" hidden="false" customHeight="false" outlineLevel="0" collapsed="false">
      <c r="B67" s="1" t="n">
        <v>129269</v>
      </c>
      <c r="C67" s="1" t="n">
        <v>-184169</v>
      </c>
    </row>
    <row r="68" customFormat="false" ht="12.8" hidden="false" customHeight="false" outlineLevel="0" collapsed="false">
      <c r="B68" s="1" t="n">
        <v>129268</v>
      </c>
      <c r="C68" s="1" t="n">
        <v>-184138</v>
      </c>
    </row>
    <row r="69" customFormat="false" ht="12.8" hidden="false" customHeight="false" outlineLevel="0" collapsed="false">
      <c r="B69" s="1" t="n">
        <v>129345</v>
      </c>
      <c r="C69" s="1" t="n">
        <v>-184164</v>
      </c>
    </row>
    <row r="70" customFormat="false" ht="12.8" hidden="false" customHeight="false" outlineLevel="0" collapsed="false">
      <c r="B70" s="1" t="n">
        <v>129332</v>
      </c>
      <c r="C70" s="1" t="n">
        <v>-184173</v>
      </c>
    </row>
    <row r="71" customFormat="false" ht="12.8" hidden="false" customHeight="false" outlineLevel="0" collapsed="false">
      <c r="B71" s="1" t="n">
        <v>129287</v>
      </c>
      <c r="C71" s="1" t="n">
        <v>-184182</v>
      </c>
    </row>
    <row r="72" customFormat="false" ht="12.8" hidden="false" customHeight="false" outlineLevel="0" collapsed="false">
      <c r="B72" s="1" t="n">
        <v>129282</v>
      </c>
      <c r="C72" s="1" t="n">
        <v>-184192</v>
      </c>
    </row>
    <row r="73" customFormat="false" ht="12.8" hidden="false" customHeight="false" outlineLevel="0" collapsed="false">
      <c r="B73" s="1" t="n">
        <v>129271</v>
      </c>
      <c r="C73" s="1" t="n">
        <v>-184252</v>
      </c>
    </row>
    <row r="74" customFormat="false" ht="12.8" hidden="false" customHeight="false" outlineLevel="0" collapsed="false">
      <c r="B74" s="1" t="n">
        <v>129269</v>
      </c>
      <c r="C74" s="1" t="n">
        <v>-184193</v>
      </c>
    </row>
    <row r="75" customFormat="false" ht="12.8" hidden="false" customHeight="false" outlineLevel="0" collapsed="false">
      <c r="B75" s="1" t="n">
        <v>129327</v>
      </c>
      <c r="C75" s="1" t="n">
        <v>-184150</v>
      </c>
    </row>
    <row r="76" customFormat="false" ht="12.8" hidden="false" customHeight="false" outlineLevel="0" collapsed="false">
      <c r="B76" s="1" t="n">
        <v>129359</v>
      </c>
      <c r="C76" s="1" t="n">
        <v>-184178</v>
      </c>
    </row>
    <row r="77" customFormat="false" ht="12.8" hidden="false" customHeight="false" outlineLevel="0" collapsed="false">
      <c r="B77" s="1" t="n">
        <v>129346</v>
      </c>
      <c r="C77" s="1" t="n">
        <v>-184226</v>
      </c>
    </row>
    <row r="78" customFormat="false" ht="12.8" hidden="false" customHeight="false" outlineLevel="0" collapsed="false">
      <c r="B78" s="1" t="n">
        <v>129347</v>
      </c>
      <c r="C78" s="1" t="n">
        <v>-184322</v>
      </c>
    </row>
    <row r="79" customFormat="false" ht="12.8" hidden="false" customHeight="false" outlineLevel="0" collapsed="false">
      <c r="B79" s="1" t="n">
        <v>129354</v>
      </c>
      <c r="C79" s="1" t="n">
        <v>-184322</v>
      </c>
    </row>
    <row r="80" customFormat="false" ht="12.8" hidden="false" customHeight="false" outlineLevel="0" collapsed="false">
      <c r="B80" s="1" t="n">
        <v>129382</v>
      </c>
      <c r="C80" s="1" t="n">
        <v>-184267</v>
      </c>
    </row>
    <row r="81" customFormat="false" ht="12.8" hidden="false" customHeight="false" outlineLevel="0" collapsed="false">
      <c r="B81" s="1" t="n">
        <v>129369</v>
      </c>
      <c r="C81" s="1" t="n">
        <v>-184282</v>
      </c>
    </row>
    <row r="82" customFormat="false" ht="12.8" hidden="false" customHeight="false" outlineLevel="0" collapsed="false">
      <c r="B82" s="1" t="n">
        <v>129365</v>
      </c>
      <c r="C82" s="1" t="n">
        <v>-184286</v>
      </c>
    </row>
    <row r="83" customFormat="false" ht="12.8" hidden="false" customHeight="false" outlineLevel="0" collapsed="false">
      <c r="B83" s="1" t="n">
        <v>129369</v>
      </c>
      <c r="C83" s="1" t="n">
        <v>-184259</v>
      </c>
    </row>
    <row r="84" customFormat="false" ht="12.8" hidden="false" customHeight="false" outlineLevel="0" collapsed="false">
      <c r="B84" s="1" t="n">
        <v>129333</v>
      </c>
      <c r="C84" s="1" t="n">
        <v>-184263</v>
      </c>
    </row>
    <row r="85" customFormat="false" ht="12.8" hidden="false" customHeight="false" outlineLevel="0" collapsed="false">
      <c r="B85" s="1" t="n">
        <v>129308</v>
      </c>
      <c r="C85" s="1" t="n">
        <v>-184294</v>
      </c>
    </row>
    <row r="86" customFormat="false" ht="12.8" hidden="false" customHeight="false" outlineLevel="0" collapsed="false">
      <c r="B86" s="1" t="n">
        <v>129306</v>
      </c>
      <c r="C86" s="1" t="n">
        <v>-184245</v>
      </c>
    </row>
    <row r="87" customFormat="false" ht="12.8" hidden="false" customHeight="false" outlineLevel="0" collapsed="false">
      <c r="B87" s="1" t="n">
        <v>129314</v>
      </c>
      <c r="C87" s="1" t="n">
        <v>-184266</v>
      </c>
    </row>
    <row r="88" customFormat="false" ht="12.8" hidden="false" customHeight="false" outlineLevel="0" collapsed="false">
      <c r="B88" s="1" t="n">
        <v>129365</v>
      </c>
      <c r="C88" s="1" t="n">
        <v>-184309</v>
      </c>
    </row>
    <row r="89" customFormat="false" ht="12.8" hidden="false" customHeight="false" outlineLevel="0" collapsed="false">
      <c r="B89" s="1" t="n">
        <v>129359</v>
      </c>
      <c r="C89" s="1" t="n">
        <v>-184339</v>
      </c>
    </row>
    <row r="90" customFormat="false" ht="12.8" hidden="false" customHeight="false" outlineLevel="0" collapsed="false">
      <c r="B90" s="1" t="n">
        <v>129354</v>
      </c>
      <c r="C90" s="1" t="n">
        <v>-184322</v>
      </c>
    </row>
    <row r="91" customFormat="false" ht="12.8" hidden="false" customHeight="false" outlineLevel="0" collapsed="false">
      <c r="B91" s="1" t="n">
        <v>129381</v>
      </c>
      <c r="C91" s="1" t="n">
        <v>-184276</v>
      </c>
    </row>
    <row r="92" customFormat="false" ht="12.8" hidden="false" customHeight="false" outlineLevel="0" collapsed="false">
      <c r="B92" s="1" t="n">
        <v>129386</v>
      </c>
      <c r="C92" s="1" t="n">
        <v>-184292</v>
      </c>
    </row>
    <row r="93" customFormat="false" ht="12.8" hidden="false" customHeight="false" outlineLevel="0" collapsed="false">
      <c r="B93" s="1" t="n">
        <v>129353</v>
      </c>
      <c r="C93" s="1" t="n">
        <v>-184264</v>
      </c>
    </row>
    <row r="94" customFormat="false" ht="12.8" hidden="false" customHeight="false" outlineLevel="0" collapsed="false">
      <c r="B94" s="1" t="n">
        <v>129380</v>
      </c>
      <c r="C94" s="1" t="n">
        <v>-184266</v>
      </c>
    </row>
    <row r="95" customFormat="false" ht="12.8" hidden="false" customHeight="false" outlineLevel="0" collapsed="false">
      <c r="B95" s="1" t="n">
        <v>129359</v>
      </c>
      <c r="C95" s="1" t="n">
        <v>-184316</v>
      </c>
    </row>
    <row r="96" customFormat="false" ht="12.8" hidden="false" customHeight="false" outlineLevel="0" collapsed="false">
      <c r="B96" s="1" t="n">
        <v>129356</v>
      </c>
      <c r="C96" s="1" t="n">
        <v>-184320</v>
      </c>
    </row>
    <row r="97" customFormat="false" ht="12.8" hidden="false" customHeight="false" outlineLevel="0" collapsed="false">
      <c r="B97" s="1" t="n">
        <v>129397</v>
      </c>
      <c r="C97" s="1" t="n">
        <v>-184275</v>
      </c>
    </row>
    <row r="98" customFormat="false" ht="12.8" hidden="false" customHeight="false" outlineLevel="0" collapsed="false">
      <c r="B98" s="1" t="n">
        <v>129382</v>
      </c>
      <c r="C98" s="1" t="n">
        <v>-184286</v>
      </c>
    </row>
    <row r="99" customFormat="false" ht="12.8" hidden="false" customHeight="false" outlineLevel="0" collapsed="false">
      <c r="B99" s="1" t="n">
        <v>129376</v>
      </c>
      <c r="C99" s="1" t="n">
        <v>-184332</v>
      </c>
    </row>
    <row r="100" customFormat="false" ht="12.8" hidden="false" customHeight="false" outlineLevel="0" collapsed="false">
      <c r="B100" s="1" t="n">
        <v>129422</v>
      </c>
      <c r="C100" s="1" t="n">
        <v>-184279</v>
      </c>
    </row>
    <row r="101" customFormat="false" ht="12.8" hidden="false" customHeight="false" outlineLevel="0" collapsed="false">
      <c r="B101" s="1" t="n">
        <v>129408</v>
      </c>
      <c r="C101" s="1" t="n">
        <v>-184313</v>
      </c>
    </row>
    <row r="102" customFormat="false" ht="12.8" hidden="false" customHeight="false" outlineLevel="0" collapsed="false">
      <c r="A102" s="1" t="s">
        <v>6</v>
      </c>
      <c r="B102" s="1" t="n">
        <f aca="false">AVERAGE(B3:B101)</f>
        <v>129322.02020202</v>
      </c>
      <c r="C102" s="1" t="n">
        <f aca="false">AVERAGE(C3:C101)</f>
        <v>-184151.434343434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2.8" hidden="false" customHeight="false" outlineLevel="0" collapsed="false">
      <c r="B1" s="2" t="s">
        <v>0</v>
      </c>
      <c r="C1" s="2" t="s">
        <v>1</v>
      </c>
    </row>
    <row r="2" customFormat="false" ht="12.8" hidden="false" customHeight="false" outlineLevel="0" collapsed="false">
      <c r="B2" s="2" t="s">
        <v>2</v>
      </c>
      <c r="C2" s="2" t="s">
        <v>3</v>
      </c>
    </row>
    <row r="3" customFormat="false" ht="12.8" hidden="false" customHeight="false" outlineLevel="0" collapsed="false">
      <c r="B3" s="1" t="n">
        <v>133258</v>
      </c>
      <c r="C3" s="2" t="n">
        <v>-179085</v>
      </c>
    </row>
    <row r="4" customFormat="false" ht="12.8" hidden="false" customHeight="false" outlineLevel="0" collapsed="false">
      <c r="B4" s="2" t="n">
        <v>133263</v>
      </c>
      <c r="C4" s="2" t="n">
        <v>-179088</v>
      </c>
    </row>
    <row r="5" customFormat="false" ht="12.8" hidden="false" customHeight="false" outlineLevel="0" collapsed="false">
      <c r="B5" s="2" t="n">
        <v>133278</v>
      </c>
      <c r="C5" s="2" t="n">
        <v>-179111</v>
      </c>
      <c r="F5" s="1" t="n">
        <v>0</v>
      </c>
      <c r="G5" s="1" t="n">
        <f aca="false">$B$102</f>
        <v>133270.04040404</v>
      </c>
      <c r="J5" s="1" t="s">
        <v>4</v>
      </c>
      <c r="K5" s="1" t="n">
        <f aca="false">(G5-G6)/(F5-F6)</f>
        <v>3121.88353535354</v>
      </c>
    </row>
    <row r="6" customFormat="false" ht="12.8" hidden="false" customHeight="false" outlineLevel="0" collapsed="false">
      <c r="B6" s="2" t="n">
        <v>133310</v>
      </c>
      <c r="C6" s="2" t="n">
        <v>-179121</v>
      </c>
      <c r="F6" s="1" t="n">
        <v>-100</v>
      </c>
      <c r="G6" s="1" t="n">
        <f aca="false">$C$102</f>
        <v>-178918.313131313</v>
      </c>
      <c r="J6" s="1" t="s">
        <v>5</v>
      </c>
      <c r="K6" s="1" t="n">
        <f aca="false">G5/K5</f>
        <v>42.6889853176244</v>
      </c>
    </row>
    <row r="7" customFormat="false" ht="12.8" hidden="false" customHeight="false" outlineLevel="0" collapsed="false">
      <c r="B7" s="2" t="n">
        <v>133288</v>
      </c>
      <c r="C7" s="2" t="n">
        <v>-179085</v>
      </c>
    </row>
    <row r="8" customFormat="false" ht="12.8" hidden="false" customHeight="false" outlineLevel="0" collapsed="false">
      <c r="B8" s="2" t="n">
        <v>133264</v>
      </c>
      <c r="C8" s="2" t="n">
        <v>-179038</v>
      </c>
    </row>
    <row r="9" customFormat="false" ht="12.8" hidden="false" customHeight="false" outlineLevel="0" collapsed="false">
      <c r="B9" s="2" t="n">
        <v>133252</v>
      </c>
      <c r="C9" s="2" t="n">
        <v>-179013</v>
      </c>
    </row>
    <row r="10" customFormat="false" ht="12.8" hidden="false" customHeight="false" outlineLevel="0" collapsed="false">
      <c r="B10" s="2" t="n">
        <v>133268</v>
      </c>
      <c r="C10" s="2" t="n">
        <v>-179050</v>
      </c>
    </row>
    <row r="11" customFormat="false" ht="12.8" hidden="false" customHeight="false" outlineLevel="0" collapsed="false">
      <c r="B11" s="2" t="n">
        <v>133278</v>
      </c>
      <c r="C11" s="2" t="n">
        <v>-179065</v>
      </c>
    </row>
    <row r="12" customFormat="false" ht="12.8" hidden="false" customHeight="false" outlineLevel="0" collapsed="false">
      <c r="B12" s="2" t="n">
        <v>133278</v>
      </c>
      <c r="C12" s="2" t="n">
        <v>-179030</v>
      </c>
    </row>
    <row r="13" customFormat="false" ht="12.8" hidden="false" customHeight="false" outlineLevel="0" collapsed="false">
      <c r="B13" s="2" t="n">
        <v>133252</v>
      </c>
      <c r="C13" s="2" t="n">
        <v>-179058</v>
      </c>
    </row>
    <row r="14" customFormat="false" ht="12.8" hidden="false" customHeight="false" outlineLevel="0" collapsed="false">
      <c r="B14" s="2" t="n">
        <v>133250</v>
      </c>
      <c r="C14" s="2" t="n">
        <v>-179070</v>
      </c>
    </row>
    <row r="15" customFormat="false" ht="12.8" hidden="false" customHeight="false" outlineLevel="0" collapsed="false">
      <c r="B15" s="2" t="n">
        <v>133313</v>
      </c>
      <c r="C15" s="2" t="n">
        <v>-179061</v>
      </c>
    </row>
    <row r="16" customFormat="false" ht="12.8" hidden="false" customHeight="false" outlineLevel="0" collapsed="false">
      <c r="B16" s="2" t="n">
        <v>133260</v>
      </c>
      <c r="C16" s="2" t="n">
        <v>-179038</v>
      </c>
    </row>
    <row r="17" customFormat="false" ht="12.8" hidden="false" customHeight="false" outlineLevel="0" collapsed="false">
      <c r="B17" s="2" t="n">
        <v>133245</v>
      </c>
      <c r="C17" s="2" t="n">
        <v>-179028</v>
      </c>
    </row>
    <row r="18" customFormat="false" ht="12.8" hidden="false" customHeight="false" outlineLevel="0" collapsed="false">
      <c r="B18" s="2" t="n">
        <v>133250</v>
      </c>
      <c r="C18" s="2" t="n">
        <v>-179080</v>
      </c>
    </row>
    <row r="19" customFormat="false" ht="12.8" hidden="false" customHeight="false" outlineLevel="0" collapsed="false">
      <c r="B19" s="2" t="n">
        <v>133266</v>
      </c>
      <c r="C19" s="2" t="n">
        <v>-179126</v>
      </c>
    </row>
    <row r="20" customFormat="false" ht="12.8" hidden="false" customHeight="false" outlineLevel="0" collapsed="false">
      <c r="B20" s="2" t="n">
        <v>133308</v>
      </c>
      <c r="C20" s="2" t="n">
        <v>-179084</v>
      </c>
    </row>
    <row r="21" customFormat="false" ht="12.8" hidden="false" customHeight="false" outlineLevel="0" collapsed="false">
      <c r="B21" s="2" t="n">
        <v>133294</v>
      </c>
      <c r="C21" s="2" t="n">
        <v>-179077</v>
      </c>
    </row>
    <row r="22" customFormat="false" ht="12.8" hidden="false" customHeight="false" outlineLevel="0" collapsed="false">
      <c r="B22" s="2" t="n">
        <v>133308</v>
      </c>
      <c r="C22" s="2" t="n">
        <v>-179042</v>
      </c>
    </row>
    <row r="23" customFormat="false" ht="12.8" hidden="false" customHeight="false" outlineLevel="0" collapsed="false">
      <c r="B23" s="2" t="n">
        <v>133283</v>
      </c>
      <c r="C23" s="2" t="n">
        <v>-179014</v>
      </c>
    </row>
    <row r="24" customFormat="false" ht="12.8" hidden="false" customHeight="false" outlineLevel="0" collapsed="false">
      <c r="B24" s="2" t="n">
        <v>133287</v>
      </c>
      <c r="C24" s="2" t="n">
        <v>-178979</v>
      </c>
    </row>
    <row r="25" customFormat="false" ht="12.8" hidden="false" customHeight="false" outlineLevel="0" collapsed="false">
      <c r="B25" s="2" t="n">
        <v>133271</v>
      </c>
      <c r="C25" s="2" t="n">
        <v>-178946</v>
      </c>
    </row>
    <row r="26" customFormat="false" ht="12.8" hidden="false" customHeight="false" outlineLevel="0" collapsed="false">
      <c r="B26" s="2" t="n">
        <v>133270</v>
      </c>
      <c r="C26" s="2" t="n">
        <v>-178960</v>
      </c>
    </row>
    <row r="27" customFormat="false" ht="12.8" hidden="false" customHeight="false" outlineLevel="0" collapsed="false">
      <c r="B27" s="2" t="n">
        <v>133240</v>
      </c>
      <c r="C27" s="2" t="n">
        <v>-178926</v>
      </c>
    </row>
    <row r="28" customFormat="false" ht="12.8" hidden="false" customHeight="false" outlineLevel="0" collapsed="false">
      <c r="B28" s="2" t="n">
        <v>133244</v>
      </c>
      <c r="C28" s="2" t="n">
        <v>-178859</v>
      </c>
    </row>
    <row r="29" customFormat="false" ht="12.8" hidden="false" customHeight="false" outlineLevel="0" collapsed="false">
      <c r="B29" s="2" t="n">
        <v>133266</v>
      </c>
      <c r="C29" s="2" t="n">
        <v>-178824</v>
      </c>
    </row>
    <row r="30" customFormat="false" ht="12.8" hidden="false" customHeight="false" outlineLevel="0" collapsed="false">
      <c r="B30" s="2" t="n">
        <v>133240</v>
      </c>
      <c r="C30" s="2" t="n">
        <v>-178779</v>
      </c>
    </row>
    <row r="31" customFormat="false" ht="12.8" hidden="false" customHeight="false" outlineLevel="0" collapsed="false">
      <c r="B31" s="2" t="n">
        <v>133229</v>
      </c>
      <c r="C31" s="2" t="n">
        <v>-178740</v>
      </c>
    </row>
    <row r="32" customFormat="false" ht="12.8" hidden="false" customHeight="false" outlineLevel="0" collapsed="false">
      <c r="B32" s="2" t="n">
        <v>133214</v>
      </c>
      <c r="C32" s="2" t="n">
        <v>-178782</v>
      </c>
    </row>
    <row r="33" customFormat="false" ht="12.8" hidden="false" customHeight="false" outlineLevel="0" collapsed="false">
      <c r="B33" s="2" t="n">
        <v>133316</v>
      </c>
      <c r="C33" s="2" t="n">
        <v>-178697</v>
      </c>
    </row>
    <row r="34" customFormat="false" ht="12.8" hidden="false" customHeight="false" outlineLevel="0" collapsed="false">
      <c r="B34" s="2" t="n">
        <v>133292</v>
      </c>
      <c r="C34" s="2" t="n">
        <v>-178686</v>
      </c>
    </row>
    <row r="35" customFormat="false" ht="12.8" hidden="false" customHeight="false" outlineLevel="0" collapsed="false">
      <c r="B35" s="2" t="n">
        <v>133259</v>
      </c>
      <c r="C35" s="2" t="n">
        <v>-178731</v>
      </c>
    </row>
    <row r="36" customFormat="false" ht="12.8" hidden="false" customHeight="false" outlineLevel="0" collapsed="false">
      <c r="B36" s="2" t="n">
        <v>133284</v>
      </c>
      <c r="C36" s="2" t="n">
        <v>-178741</v>
      </c>
    </row>
    <row r="37" customFormat="false" ht="12.8" hidden="false" customHeight="false" outlineLevel="0" collapsed="false">
      <c r="B37" s="2" t="n">
        <v>133299</v>
      </c>
      <c r="C37" s="2" t="n">
        <v>-178746</v>
      </c>
    </row>
    <row r="38" customFormat="false" ht="12.8" hidden="false" customHeight="false" outlineLevel="0" collapsed="false">
      <c r="B38" s="2" t="n">
        <v>133295</v>
      </c>
      <c r="C38" s="2" t="n">
        <v>-178811</v>
      </c>
    </row>
    <row r="39" customFormat="false" ht="12.8" hidden="false" customHeight="false" outlineLevel="0" collapsed="false">
      <c r="B39" s="2" t="n">
        <v>133265</v>
      </c>
      <c r="C39" s="2" t="n">
        <v>-178788</v>
      </c>
    </row>
    <row r="40" customFormat="false" ht="12.8" hidden="false" customHeight="false" outlineLevel="0" collapsed="false">
      <c r="B40" s="2" t="n">
        <v>133267</v>
      </c>
      <c r="C40" s="2" t="n">
        <v>-178735</v>
      </c>
    </row>
    <row r="41" customFormat="false" ht="12.8" hidden="false" customHeight="false" outlineLevel="0" collapsed="false">
      <c r="B41" s="2" t="n">
        <v>133260</v>
      </c>
      <c r="C41" s="2" t="n">
        <v>-178751</v>
      </c>
    </row>
    <row r="42" customFormat="false" ht="12.8" hidden="false" customHeight="false" outlineLevel="0" collapsed="false">
      <c r="B42" s="2" t="n">
        <v>133263</v>
      </c>
      <c r="C42" s="2" t="n">
        <v>-178697</v>
      </c>
    </row>
    <row r="43" customFormat="false" ht="12.8" hidden="false" customHeight="false" outlineLevel="0" collapsed="false">
      <c r="B43" s="2" t="n">
        <v>133284</v>
      </c>
      <c r="C43" s="2" t="n">
        <v>-178724</v>
      </c>
    </row>
    <row r="44" customFormat="false" ht="12.8" hidden="false" customHeight="false" outlineLevel="0" collapsed="false">
      <c r="B44" s="2" t="n">
        <v>133256</v>
      </c>
      <c r="C44" s="2" t="n">
        <v>-178754</v>
      </c>
    </row>
    <row r="45" customFormat="false" ht="12.8" hidden="false" customHeight="false" outlineLevel="0" collapsed="false">
      <c r="B45" s="2" t="n">
        <v>133282</v>
      </c>
      <c r="C45" s="2" t="n">
        <v>-178709</v>
      </c>
    </row>
    <row r="46" customFormat="false" ht="12.8" hidden="false" customHeight="false" outlineLevel="0" collapsed="false">
      <c r="B46" s="2" t="n">
        <v>133297</v>
      </c>
      <c r="C46" s="2" t="n">
        <v>-178704</v>
      </c>
    </row>
    <row r="47" customFormat="false" ht="12.8" hidden="false" customHeight="false" outlineLevel="0" collapsed="false">
      <c r="B47" s="2" t="n">
        <v>133261</v>
      </c>
      <c r="C47" s="2" t="n">
        <v>-178686</v>
      </c>
    </row>
    <row r="48" customFormat="false" ht="12.8" hidden="false" customHeight="false" outlineLevel="0" collapsed="false">
      <c r="B48" s="2" t="n">
        <v>133255</v>
      </c>
      <c r="C48" s="2" t="n">
        <v>-178707</v>
      </c>
    </row>
    <row r="49" customFormat="false" ht="12.8" hidden="false" customHeight="false" outlineLevel="0" collapsed="false">
      <c r="B49" s="2" t="n">
        <v>133232</v>
      </c>
      <c r="C49" s="2" t="n">
        <v>-178721</v>
      </c>
    </row>
    <row r="50" customFormat="false" ht="12.8" hidden="false" customHeight="false" outlineLevel="0" collapsed="false">
      <c r="B50" s="2" t="n">
        <v>133293</v>
      </c>
      <c r="C50" s="2" t="n">
        <v>-178700</v>
      </c>
    </row>
    <row r="51" customFormat="false" ht="12.8" hidden="false" customHeight="false" outlineLevel="0" collapsed="false">
      <c r="B51" s="2" t="n">
        <v>133270</v>
      </c>
      <c r="C51" s="2" t="n">
        <v>-178778</v>
      </c>
    </row>
    <row r="52" customFormat="false" ht="12.8" hidden="false" customHeight="false" outlineLevel="0" collapsed="false">
      <c r="B52" s="2" t="n">
        <v>133263</v>
      </c>
      <c r="C52" s="2" t="n">
        <v>-178706</v>
      </c>
    </row>
    <row r="53" customFormat="false" ht="12.8" hidden="false" customHeight="false" outlineLevel="0" collapsed="false">
      <c r="B53" s="2" t="n">
        <v>133275</v>
      </c>
      <c r="C53" s="2" t="n">
        <v>-178706</v>
      </c>
    </row>
    <row r="54" customFormat="false" ht="12.8" hidden="false" customHeight="false" outlineLevel="0" collapsed="false">
      <c r="B54" s="2" t="n">
        <v>133235</v>
      </c>
      <c r="C54" s="2" t="n">
        <v>-178673</v>
      </c>
    </row>
    <row r="55" customFormat="false" ht="12.8" hidden="false" customHeight="false" outlineLevel="0" collapsed="false">
      <c r="B55" s="1" t="n">
        <v>133254</v>
      </c>
      <c r="C55" s="1" t="n">
        <v>-178727</v>
      </c>
    </row>
    <row r="56" customFormat="false" ht="12.8" hidden="false" customHeight="false" outlineLevel="0" collapsed="false">
      <c r="B56" s="1" t="n">
        <v>133271</v>
      </c>
      <c r="C56" s="1" t="n">
        <v>-178702</v>
      </c>
    </row>
    <row r="57" customFormat="false" ht="12.8" hidden="false" customHeight="false" outlineLevel="0" collapsed="false">
      <c r="B57" s="1" t="n">
        <v>133253</v>
      </c>
      <c r="C57" s="1" t="n">
        <v>-178688</v>
      </c>
    </row>
    <row r="58" customFormat="false" ht="12.8" hidden="false" customHeight="false" outlineLevel="0" collapsed="false">
      <c r="B58" s="1" t="n">
        <v>133295</v>
      </c>
      <c r="C58" s="1" t="n">
        <v>-178724</v>
      </c>
    </row>
    <row r="59" customFormat="false" ht="12.8" hidden="false" customHeight="false" outlineLevel="0" collapsed="false">
      <c r="B59" s="1" t="n">
        <v>133277</v>
      </c>
      <c r="C59" s="1" t="n">
        <v>-178752</v>
      </c>
    </row>
    <row r="60" customFormat="false" ht="12.8" hidden="false" customHeight="false" outlineLevel="0" collapsed="false">
      <c r="B60" s="1" t="n">
        <v>133243</v>
      </c>
      <c r="C60" s="1" t="n">
        <v>-178741</v>
      </c>
    </row>
    <row r="61" customFormat="false" ht="12.8" hidden="false" customHeight="false" outlineLevel="0" collapsed="false">
      <c r="B61" s="1" t="n">
        <v>133263</v>
      </c>
      <c r="C61" s="1" t="n">
        <v>-178765</v>
      </c>
    </row>
    <row r="62" customFormat="false" ht="12.8" hidden="false" customHeight="false" outlineLevel="0" collapsed="false">
      <c r="B62" s="1" t="n">
        <v>133279</v>
      </c>
      <c r="C62" s="1" t="n">
        <v>-178758</v>
      </c>
    </row>
    <row r="63" customFormat="false" ht="12.8" hidden="false" customHeight="false" outlineLevel="0" collapsed="false">
      <c r="B63" s="1" t="n">
        <v>133228</v>
      </c>
      <c r="C63" s="1" t="n">
        <v>-178753</v>
      </c>
    </row>
    <row r="64" customFormat="false" ht="12.8" hidden="false" customHeight="false" outlineLevel="0" collapsed="false">
      <c r="B64" s="1" t="n">
        <v>133232</v>
      </c>
      <c r="C64" s="1" t="n">
        <v>-178785</v>
      </c>
    </row>
    <row r="65" customFormat="false" ht="12.8" hidden="false" customHeight="false" outlineLevel="0" collapsed="false">
      <c r="B65" s="1" t="n">
        <v>133295</v>
      </c>
      <c r="C65" s="1" t="n">
        <v>-178824</v>
      </c>
    </row>
    <row r="66" customFormat="false" ht="12.8" hidden="false" customHeight="false" outlineLevel="0" collapsed="false">
      <c r="B66" s="1" t="n">
        <v>133316</v>
      </c>
      <c r="C66" s="1" t="n">
        <v>-178816</v>
      </c>
    </row>
    <row r="67" customFormat="false" ht="12.8" hidden="false" customHeight="false" outlineLevel="0" collapsed="false">
      <c r="B67" s="1" t="n">
        <v>133323</v>
      </c>
      <c r="C67" s="1" t="n">
        <v>-178864</v>
      </c>
    </row>
    <row r="68" customFormat="false" ht="12.8" hidden="false" customHeight="false" outlineLevel="0" collapsed="false">
      <c r="B68" s="1" t="n">
        <v>133327</v>
      </c>
      <c r="C68" s="1" t="n">
        <v>-178867</v>
      </c>
    </row>
    <row r="69" customFormat="false" ht="12.8" hidden="false" customHeight="false" outlineLevel="0" collapsed="false">
      <c r="B69" s="1" t="n">
        <v>133275</v>
      </c>
      <c r="C69" s="1" t="n">
        <v>-178843</v>
      </c>
    </row>
    <row r="70" customFormat="false" ht="12.8" hidden="false" customHeight="false" outlineLevel="0" collapsed="false">
      <c r="B70" s="1" t="n">
        <v>133288</v>
      </c>
      <c r="C70" s="1" t="n">
        <v>-178887</v>
      </c>
    </row>
    <row r="71" customFormat="false" ht="12.8" hidden="false" customHeight="false" outlineLevel="0" collapsed="false">
      <c r="B71" s="1" t="n">
        <v>133237</v>
      </c>
      <c r="C71" s="1" t="n">
        <v>-178948</v>
      </c>
    </row>
    <row r="72" customFormat="false" ht="12.8" hidden="false" customHeight="false" outlineLevel="0" collapsed="false">
      <c r="B72" s="1" t="n">
        <v>133257</v>
      </c>
      <c r="C72" s="1" t="n">
        <v>-178958</v>
      </c>
    </row>
    <row r="73" customFormat="false" ht="12.8" hidden="false" customHeight="false" outlineLevel="0" collapsed="false">
      <c r="B73" s="1" t="n">
        <v>133274</v>
      </c>
      <c r="C73" s="1" t="n">
        <v>-178943</v>
      </c>
    </row>
    <row r="74" customFormat="false" ht="12.8" hidden="false" customHeight="false" outlineLevel="0" collapsed="false">
      <c r="B74" s="1" t="n">
        <v>133252</v>
      </c>
      <c r="C74" s="1" t="n">
        <v>-178938</v>
      </c>
    </row>
    <row r="75" customFormat="false" ht="12.8" hidden="false" customHeight="false" outlineLevel="0" collapsed="false">
      <c r="B75" s="1" t="n">
        <v>133283</v>
      </c>
      <c r="C75" s="1" t="n">
        <v>-178971</v>
      </c>
    </row>
    <row r="76" customFormat="false" ht="12.8" hidden="false" customHeight="false" outlineLevel="0" collapsed="false">
      <c r="B76" s="1" t="n">
        <v>133295</v>
      </c>
      <c r="C76" s="1" t="n">
        <v>-178964</v>
      </c>
    </row>
    <row r="77" customFormat="false" ht="12.8" hidden="false" customHeight="false" outlineLevel="0" collapsed="false">
      <c r="B77" s="1" t="n">
        <v>133236</v>
      </c>
      <c r="C77" s="1" t="n">
        <v>-178960</v>
      </c>
    </row>
    <row r="78" customFormat="false" ht="12.8" hidden="false" customHeight="false" outlineLevel="0" collapsed="false">
      <c r="B78" s="1" t="n">
        <v>133253</v>
      </c>
      <c r="C78" s="1" t="n">
        <v>-179011</v>
      </c>
    </row>
    <row r="79" customFormat="false" ht="12.8" hidden="false" customHeight="false" outlineLevel="0" collapsed="false">
      <c r="B79" s="1" t="n">
        <v>133282</v>
      </c>
      <c r="C79" s="1" t="n">
        <v>-179035</v>
      </c>
    </row>
    <row r="80" customFormat="false" ht="12.8" hidden="false" customHeight="false" outlineLevel="0" collapsed="false">
      <c r="B80" s="1" t="n">
        <v>133300</v>
      </c>
      <c r="C80" s="1" t="n">
        <v>-179022</v>
      </c>
    </row>
    <row r="81" customFormat="false" ht="12.8" hidden="false" customHeight="false" outlineLevel="0" collapsed="false">
      <c r="B81" s="1" t="n">
        <v>133252</v>
      </c>
      <c r="C81" s="1" t="n">
        <v>-179021</v>
      </c>
    </row>
    <row r="82" customFormat="false" ht="12.8" hidden="false" customHeight="false" outlineLevel="0" collapsed="false">
      <c r="B82" s="1" t="n">
        <v>133274</v>
      </c>
      <c r="C82" s="1" t="n">
        <v>-179026</v>
      </c>
    </row>
    <row r="83" customFormat="false" ht="12.8" hidden="false" customHeight="false" outlineLevel="0" collapsed="false">
      <c r="B83" s="1" t="n">
        <v>133322</v>
      </c>
      <c r="C83" s="1" t="n">
        <v>-179017</v>
      </c>
    </row>
    <row r="84" customFormat="false" ht="12.8" hidden="false" customHeight="false" outlineLevel="0" collapsed="false">
      <c r="B84" s="1" t="n">
        <v>133302</v>
      </c>
      <c r="C84" s="1" t="n">
        <v>-179038</v>
      </c>
    </row>
    <row r="85" customFormat="false" ht="12.8" hidden="false" customHeight="false" outlineLevel="0" collapsed="false">
      <c r="B85" s="1" t="n">
        <v>133249</v>
      </c>
      <c r="C85" s="1" t="n">
        <v>-179079</v>
      </c>
    </row>
    <row r="86" customFormat="false" ht="12.8" hidden="false" customHeight="false" outlineLevel="0" collapsed="false">
      <c r="B86" s="1" t="n">
        <v>133239</v>
      </c>
      <c r="C86" s="1" t="n">
        <v>-179115</v>
      </c>
    </row>
    <row r="87" customFormat="false" ht="12.8" hidden="false" customHeight="false" outlineLevel="0" collapsed="false">
      <c r="B87" s="1" t="n">
        <v>133238</v>
      </c>
      <c r="C87" s="1" t="n">
        <v>-179071</v>
      </c>
    </row>
    <row r="88" customFormat="false" ht="12.8" hidden="false" customHeight="false" outlineLevel="0" collapsed="false">
      <c r="B88" s="1" t="n">
        <v>133230</v>
      </c>
      <c r="C88" s="1" t="n">
        <v>-179075</v>
      </c>
    </row>
    <row r="89" customFormat="false" ht="12.8" hidden="false" customHeight="false" outlineLevel="0" collapsed="false">
      <c r="B89" s="1" t="n">
        <v>133272</v>
      </c>
      <c r="C89" s="1" t="n">
        <v>-179142</v>
      </c>
    </row>
    <row r="90" customFormat="false" ht="12.8" hidden="false" customHeight="false" outlineLevel="0" collapsed="false">
      <c r="B90" s="1" t="n">
        <v>133296</v>
      </c>
      <c r="C90" s="1" t="n">
        <v>-179118</v>
      </c>
    </row>
    <row r="91" customFormat="false" ht="12.8" hidden="false" customHeight="false" outlineLevel="0" collapsed="false">
      <c r="B91" s="1" t="n">
        <v>133294</v>
      </c>
      <c r="C91" s="1" t="n">
        <v>-179059</v>
      </c>
    </row>
    <row r="92" customFormat="false" ht="12.8" hidden="false" customHeight="false" outlineLevel="0" collapsed="false">
      <c r="B92" s="1" t="n">
        <v>133263</v>
      </c>
      <c r="C92" s="1" t="n">
        <v>-179057</v>
      </c>
    </row>
    <row r="93" customFormat="false" ht="12.8" hidden="false" customHeight="false" outlineLevel="0" collapsed="false">
      <c r="B93" s="1" t="n">
        <v>133270</v>
      </c>
      <c r="C93" s="1" t="n">
        <v>-179087</v>
      </c>
    </row>
    <row r="94" customFormat="false" ht="12.8" hidden="false" customHeight="false" outlineLevel="0" collapsed="false">
      <c r="B94" s="1" t="n">
        <v>133253</v>
      </c>
      <c r="C94" s="1" t="n">
        <v>-179124</v>
      </c>
    </row>
    <row r="95" customFormat="false" ht="12.8" hidden="false" customHeight="false" outlineLevel="0" collapsed="false">
      <c r="B95" s="1" t="n">
        <v>133237</v>
      </c>
      <c r="C95" s="1" t="n">
        <v>-179143</v>
      </c>
    </row>
    <row r="96" customFormat="false" ht="12.8" hidden="false" customHeight="false" outlineLevel="0" collapsed="false">
      <c r="B96" s="1" t="n">
        <v>133217</v>
      </c>
      <c r="C96" s="1" t="n">
        <v>-179098</v>
      </c>
    </row>
    <row r="97" customFormat="false" ht="12.8" hidden="false" customHeight="false" outlineLevel="0" collapsed="false">
      <c r="B97" s="1" t="n">
        <v>133270</v>
      </c>
      <c r="C97" s="1" t="n">
        <v>-179100</v>
      </c>
    </row>
    <row r="98" customFormat="false" ht="12.8" hidden="false" customHeight="false" outlineLevel="0" collapsed="false">
      <c r="B98" s="1" t="n">
        <v>133288</v>
      </c>
      <c r="C98" s="1" t="n">
        <v>-179107</v>
      </c>
    </row>
    <row r="99" customFormat="false" ht="12.8" hidden="false" customHeight="false" outlineLevel="0" collapsed="false">
      <c r="B99" s="1" t="n">
        <v>133292</v>
      </c>
      <c r="C99" s="1" t="n">
        <v>-179031</v>
      </c>
    </row>
    <row r="100" customFormat="false" ht="12.8" hidden="false" customHeight="false" outlineLevel="0" collapsed="false">
      <c r="B100" s="1" t="n">
        <v>133292</v>
      </c>
      <c r="C100" s="1" t="n">
        <v>-179028</v>
      </c>
    </row>
    <row r="101" customFormat="false" ht="12.8" hidden="false" customHeight="false" outlineLevel="0" collapsed="false">
      <c r="B101" s="1" t="n">
        <v>133266</v>
      </c>
      <c r="C101" s="1" t="n">
        <v>-179021</v>
      </c>
    </row>
    <row r="102" customFormat="false" ht="12.8" hidden="false" customHeight="false" outlineLevel="0" collapsed="false">
      <c r="A102" s="1" t="s">
        <v>6</v>
      </c>
      <c r="B102" s="1" t="n">
        <f aca="false">AVERAGE(B3:B101)</f>
        <v>133270.04040404</v>
      </c>
      <c r="C102" s="1" t="n">
        <f aca="false">AVERAGE(C3:C101)</f>
        <v>-178918.313131313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2.8" hidden="false" customHeight="false" outlineLevel="0" collapsed="false">
      <c r="C1" s="2" t="s">
        <v>0</v>
      </c>
      <c r="D1" s="2" t="s">
        <v>7</v>
      </c>
      <c r="E1" s="2" t="s">
        <v>8</v>
      </c>
      <c r="F1" s="2" t="s">
        <v>9</v>
      </c>
      <c r="G1" s="2"/>
      <c r="H1" s="2"/>
      <c r="I1" s="3"/>
    </row>
    <row r="2" customFormat="false" ht="12.8" hidden="false" customHeight="false" outlineLevel="0" collapsed="false">
      <c r="B2" s="2" t="s">
        <v>10</v>
      </c>
      <c r="C2" s="2" t="s">
        <v>2</v>
      </c>
      <c r="D2" s="2" t="n">
        <v>-104.9</v>
      </c>
      <c r="E2" s="2" t="n">
        <v>-209.8</v>
      </c>
      <c r="F2" s="2" t="n">
        <v>-5.14</v>
      </c>
      <c r="G2" s="2"/>
      <c r="H2" s="2"/>
    </row>
    <row r="3" customFormat="false" ht="12.8" hidden="false" customHeight="false" outlineLevel="0" collapsed="false">
      <c r="B3" s="2"/>
      <c r="D3" s="2"/>
      <c r="E3" s="2"/>
      <c r="F3" s="2"/>
      <c r="G3" s="2"/>
      <c r="H3" s="2"/>
    </row>
    <row r="4" customFormat="false" ht="12.8" hidden="false" customHeight="false" outlineLevel="0" collapsed="false">
      <c r="C4" s="2" t="n">
        <v>134846</v>
      </c>
      <c r="D4" s="2" t="n">
        <v>-186362</v>
      </c>
      <c r="E4" s="2" t="n">
        <v>-508179</v>
      </c>
      <c r="F4" s="2" t="n">
        <v>119582</v>
      </c>
      <c r="G4" s="2"/>
      <c r="H4" s="2"/>
      <c r="K4" s="2" t="s">
        <v>11</v>
      </c>
      <c r="L4" s="2" t="s">
        <v>12</v>
      </c>
    </row>
    <row r="5" customFormat="false" ht="12.8" hidden="false" customHeight="false" outlineLevel="0" collapsed="false">
      <c r="C5" s="2" t="n">
        <v>134874</v>
      </c>
      <c r="D5" s="2" t="n">
        <v>-186395</v>
      </c>
      <c r="E5" s="2" t="n">
        <v>-508152</v>
      </c>
      <c r="F5" s="2" t="n">
        <v>119553</v>
      </c>
      <c r="G5" s="2"/>
      <c r="H5" s="2"/>
      <c r="K5" s="2" t="n">
        <v>0</v>
      </c>
      <c r="L5" s="2" t="n">
        <f aca="false">C54</f>
        <v>134845.9</v>
      </c>
    </row>
    <row r="6" customFormat="false" ht="12.8" hidden="false" customHeight="false" outlineLevel="0" collapsed="false">
      <c r="C6" s="2" t="n">
        <v>134887</v>
      </c>
      <c r="D6" s="2" t="n">
        <v>-186332</v>
      </c>
      <c r="E6" s="2" t="n">
        <v>-508156</v>
      </c>
      <c r="F6" s="2" t="n">
        <v>119546</v>
      </c>
      <c r="G6" s="2"/>
      <c r="H6" s="2"/>
      <c r="K6" s="2" t="n">
        <f aca="false">D2</f>
        <v>-104.9</v>
      </c>
      <c r="L6" s="2" t="n">
        <f aca="false">D54</f>
        <v>-186443.74</v>
      </c>
    </row>
    <row r="7" customFormat="false" ht="12.8" hidden="false" customHeight="false" outlineLevel="0" collapsed="false">
      <c r="C7" s="2" t="n">
        <v>134870</v>
      </c>
      <c r="D7" s="2" t="n">
        <v>-186368</v>
      </c>
      <c r="E7" s="2" t="n">
        <v>-508197</v>
      </c>
      <c r="F7" s="2" t="n">
        <v>119550</v>
      </c>
      <c r="G7" s="2"/>
      <c r="H7" s="2"/>
      <c r="K7" s="2" t="n">
        <f aca="false">E2</f>
        <v>-209.8</v>
      </c>
      <c r="L7" s="2" t="n">
        <f aca="false">E54</f>
        <v>-508269.14</v>
      </c>
    </row>
    <row r="8" customFormat="false" ht="12.8" hidden="false" customHeight="false" outlineLevel="0" collapsed="false">
      <c r="C8" s="2" t="n">
        <v>134862</v>
      </c>
      <c r="D8" s="2" t="n">
        <v>-186446</v>
      </c>
      <c r="E8" s="2" t="n">
        <v>-508187</v>
      </c>
      <c r="F8" s="2" t="n">
        <v>119516</v>
      </c>
      <c r="G8" s="2"/>
      <c r="H8" s="2"/>
      <c r="K8" s="2" t="n">
        <f aca="false">F2</f>
        <v>-5.14</v>
      </c>
      <c r="L8" s="2" t="n">
        <f aca="false">F54</f>
        <v>119553.98</v>
      </c>
    </row>
    <row r="9" customFormat="false" ht="12.8" hidden="false" customHeight="false" outlineLevel="0" collapsed="false">
      <c r="C9" s="2" t="n">
        <v>134812</v>
      </c>
      <c r="D9" s="2" t="n">
        <v>-186350</v>
      </c>
      <c r="E9" s="2" t="n">
        <v>-508234</v>
      </c>
      <c r="F9" s="2" t="n">
        <v>119484</v>
      </c>
      <c r="G9" s="2"/>
      <c r="H9" s="2"/>
      <c r="K9" s="2"/>
      <c r="L9" s="2"/>
    </row>
    <row r="10" customFormat="false" ht="12.8" hidden="false" customHeight="false" outlineLevel="0" collapsed="false">
      <c r="C10" s="2" t="n">
        <v>134885</v>
      </c>
      <c r="D10" s="2" t="n">
        <v>-186393</v>
      </c>
      <c r="E10" s="2" t="n">
        <v>-508217</v>
      </c>
      <c r="F10" s="2" t="n">
        <v>119489</v>
      </c>
      <c r="G10" s="2"/>
      <c r="H10" s="2"/>
      <c r="K10" s="2"/>
      <c r="L10" s="2"/>
    </row>
    <row r="11" customFormat="false" ht="12.8" hidden="false" customHeight="false" outlineLevel="0" collapsed="false">
      <c r="C11" s="2" t="n">
        <v>134865</v>
      </c>
      <c r="D11" s="2" t="n">
        <v>-186463</v>
      </c>
      <c r="E11" s="2" t="n">
        <v>-508284</v>
      </c>
      <c r="F11" s="2" t="n">
        <v>119555</v>
      </c>
      <c r="G11" s="2"/>
      <c r="H11" s="2"/>
    </row>
    <row r="12" customFormat="false" ht="12.8" hidden="false" customHeight="false" outlineLevel="0" collapsed="false">
      <c r="C12" s="2" t="n">
        <v>134846</v>
      </c>
      <c r="D12" s="2" t="n">
        <v>-186415</v>
      </c>
      <c r="E12" s="2" t="n">
        <v>-508263</v>
      </c>
      <c r="F12" s="2" t="n">
        <v>119557</v>
      </c>
      <c r="G12" s="2"/>
      <c r="H12" s="2"/>
    </row>
    <row r="13" customFormat="false" ht="12.8" hidden="false" customHeight="false" outlineLevel="0" collapsed="false">
      <c r="C13" s="2" t="n">
        <v>134896</v>
      </c>
      <c r="D13" s="2" t="n">
        <v>-186354</v>
      </c>
      <c r="E13" s="2" t="n">
        <v>-508247</v>
      </c>
      <c r="F13" s="2" t="n">
        <v>119532</v>
      </c>
      <c r="G13" s="2"/>
      <c r="H13" s="2"/>
    </row>
    <row r="14" customFormat="false" ht="12.8" hidden="false" customHeight="false" outlineLevel="0" collapsed="false">
      <c r="C14" s="2" t="n">
        <v>134909</v>
      </c>
      <c r="D14" s="2" t="n">
        <v>-186412</v>
      </c>
      <c r="E14" s="2" t="n">
        <v>-508178</v>
      </c>
      <c r="F14" s="2" t="n">
        <v>119562</v>
      </c>
      <c r="G14" s="2"/>
      <c r="H14" s="2"/>
    </row>
    <row r="15" customFormat="false" ht="12.8" hidden="false" customHeight="false" outlineLevel="0" collapsed="false">
      <c r="C15" s="2" t="n">
        <v>134920</v>
      </c>
      <c r="D15" s="2" t="n">
        <v>-186387</v>
      </c>
      <c r="E15" s="2" t="n">
        <v>-508275</v>
      </c>
      <c r="F15" s="2" t="n">
        <v>119516</v>
      </c>
      <c r="G15" s="2"/>
      <c r="H15" s="2"/>
    </row>
    <row r="16" customFormat="false" ht="12.8" hidden="false" customHeight="false" outlineLevel="0" collapsed="false">
      <c r="C16" s="2" t="n">
        <v>134925</v>
      </c>
      <c r="D16" s="2" t="n">
        <v>-186417</v>
      </c>
      <c r="E16" s="2" t="n">
        <v>-508245</v>
      </c>
      <c r="F16" s="2" t="n">
        <v>119493</v>
      </c>
      <c r="G16" s="2"/>
      <c r="H16" s="2"/>
    </row>
    <row r="17" customFormat="false" ht="12.8" hidden="false" customHeight="false" outlineLevel="0" collapsed="false">
      <c r="C17" s="2" t="n">
        <v>134983</v>
      </c>
      <c r="D17" s="2" t="n">
        <v>-186447</v>
      </c>
      <c r="E17" s="2" t="n">
        <v>-508234</v>
      </c>
      <c r="F17" s="2" t="n">
        <v>119562</v>
      </c>
      <c r="G17" s="2"/>
      <c r="H17" s="2"/>
    </row>
    <row r="18" customFormat="false" ht="12.8" hidden="false" customHeight="false" outlineLevel="0" collapsed="false">
      <c r="C18" s="2" t="n">
        <v>134948</v>
      </c>
      <c r="D18" s="2" t="n">
        <v>-186462</v>
      </c>
      <c r="E18" s="2" t="n">
        <v>-508238</v>
      </c>
      <c r="F18" s="2" t="n">
        <v>119596</v>
      </c>
      <c r="G18" s="2"/>
      <c r="H18" s="2"/>
      <c r="V18" s="2"/>
    </row>
    <row r="19" customFormat="false" ht="12.8" hidden="false" customHeight="false" outlineLevel="0" collapsed="false">
      <c r="C19" s="2" t="n">
        <v>134898</v>
      </c>
      <c r="D19" s="2" t="n">
        <v>-186494</v>
      </c>
      <c r="E19" s="2" t="n">
        <v>-508278</v>
      </c>
      <c r="F19" s="2" t="n">
        <v>119556</v>
      </c>
      <c r="G19" s="2"/>
      <c r="H19" s="2"/>
    </row>
    <row r="20" customFormat="false" ht="12.8" hidden="false" customHeight="false" outlineLevel="0" collapsed="false">
      <c r="C20" s="2" t="n">
        <v>134936</v>
      </c>
      <c r="D20" s="2" t="n">
        <v>-186456</v>
      </c>
      <c r="E20" s="2" t="n">
        <v>-508296</v>
      </c>
      <c r="F20" s="2" t="n">
        <v>119498</v>
      </c>
      <c r="G20" s="2"/>
      <c r="H20" s="2"/>
      <c r="V20" s="2"/>
    </row>
    <row r="21" customFormat="false" ht="12.8" hidden="false" customHeight="false" outlineLevel="0" collapsed="false">
      <c r="C21" s="2" t="n">
        <v>134906</v>
      </c>
      <c r="D21" s="2" t="n">
        <v>-186411</v>
      </c>
      <c r="E21" s="2" t="n">
        <v>-508308</v>
      </c>
      <c r="F21" s="2" t="n">
        <v>119548</v>
      </c>
      <c r="G21" s="2"/>
      <c r="H21" s="2"/>
    </row>
    <row r="22" customFormat="false" ht="12.8" hidden="false" customHeight="false" outlineLevel="0" collapsed="false">
      <c r="C22" s="2" t="n">
        <v>134850</v>
      </c>
      <c r="D22" s="2" t="n">
        <v>-186419</v>
      </c>
      <c r="E22" s="2" t="n">
        <v>-508319</v>
      </c>
      <c r="F22" s="2" t="n">
        <v>119533</v>
      </c>
      <c r="G22" s="2"/>
      <c r="H22" s="2"/>
    </row>
    <row r="23" customFormat="false" ht="12.8" hidden="false" customHeight="false" outlineLevel="0" collapsed="false">
      <c r="C23" s="2" t="n">
        <v>134827</v>
      </c>
      <c r="D23" s="2" t="n">
        <v>-186436</v>
      </c>
      <c r="E23" s="2" t="n">
        <v>-508315</v>
      </c>
      <c r="F23" s="2" t="n">
        <v>119518</v>
      </c>
      <c r="G23" s="2"/>
      <c r="H23" s="2"/>
    </row>
    <row r="24" customFormat="false" ht="12.8" hidden="false" customHeight="false" outlineLevel="0" collapsed="false">
      <c r="C24" s="2" t="n">
        <v>134917</v>
      </c>
      <c r="D24" s="2" t="n">
        <v>-186391</v>
      </c>
      <c r="E24" s="2" t="n">
        <v>-508325</v>
      </c>
      <c r="F24" s="2" t="n">
        <v>119546</v>
      </c>
      <c r="G24" s="2"/>
      <c r="H24" s="2"/>
    </row>
    <row r="25" customFormat="false" ht="12.8" hidden="false" customHeight="false" outlineLevel="0" collapsed="false">
      <c r="C25" s="2" t="n">
        <v>134917</v>
      </c>
      <c r="D25" s="2" t="n">
        <v>-186408</v>
      </c>
      <c r="E25" s="2" t="n">
        <v>-508336</v>
      </c>
      <c r="F25" s="2" t="n">
        <v>119615</v>
      </c>
      <c r="G25" s="2"/>
      <c r="H25" s="2"/>
      <c r="L25" s="4" t="s">
        <v>13</v>
      </c>
    </row>
    <row r="26" customFormat="false" ht="12.8" hidden="false" customHeight="false" outlineLevel="0" collapsed="false">
      <c r="C26" s="2" t="n">
        <v>134903</v>
      </c>
      <c r="D26" s="2" t="n">
        <v>-186434</v>
      </c>
      <c r="E26" s="2" t="n">
        <v>-508331</v>
      </c>
      <c r="F26" s="2" t="n">
        <v>119534</v>
      </c>
      <c r="G26" s="2"/>
      <c r="H26" s="2"/>
      <c r="L26" s="2" t="s">
        <v>14</v>
      </c>
      <c r="M26" s="2" t="s">
        <v>15</v>
      </c>
    </row>
    <row r="27" customFormat="false" ht="12.8" hidden="false" customHeight="false" outlineLevel="0" collapsed="false">
      <c r="C27" s="2" t="n">
        <v>134951</v>
      </c>
      <c r="D27" s="2" t="n">
        <v>-186432</v>
      </c>
      <c r="E27" s="2" t="n">
        <v>-508254</v>
      </c>
      <c r="F27" s="2" t="n">
        <v>119568</v>
      </c>
      <c r="G27" s="2"/>
      <c r="H27" s="2"/>
    </row>
    <row r="28" customFormat="false" ht="12.8" hidden="false" customHeight="false" outlineLevel="0" collapsed="false">
      <c r="C28" s="2" t="n">
        <v>134941</v>
      </c>
      <c r="D28" s="2" t="n">
        <v>-186428</v>
      </c>
      <c r="E28" s="2" t="n">
        <v>-508347</v>
      </c>
      <c r="F28" s="2" t="n">
        <v>119639</v>
      </c>
      <c r="G28" s="2"/>
      <c r="H28" s="2"/>
      <c r="L28" s="2" t="s">
        <v>16</v>
      </c>
    </row>
    <row r="29" customFormat="false" ht="12.8" hidden="false" customHeight="false" outlineLevel="0" collapsed="false">
      <c r="C29" s="2" t="n">
        <v>134932</v>
      </c>
      <c r="D29" s="2" t="n">
        <v>-186416</v>
      </c>
      <c r="E29" s="2" t="n">
        <v>-508390</v>
      </c>
      <c r="F29" s="2" t="n">
        <v>119618</v>
      </c>
      <c r="G29" s="2"/>
      <c r="H29" s="2"/>
      <c r="L29" s="2" t="n">
        <f aca="false" t="array" ref="L29:M33">LINEST($L$5:$L$8 , $K$5:$K$8 , 1 , 1)</f>
        <v>3066.32346529441</v>
      </c>
      <c r="M29" s="2" t="n">
        <v>135104.974284941</v>
      </c>
      <c r="S29" s="2" t="s">
        <v>17</v>
      </c>
    </row>
    <row r="30" customFormat="false" ht="12.8" hidden="false" customHeight="false" outlineLevel="0" collapsed="false">
      <c r="C30" s="2" t="n">
        <v>134926</v>
      </c>
      <c r="D30" s="2" t="n">
        <v>-186466</v>
      </c>
      <c r="E30" s="2" t="n">
        <v>-508328</v>
      </c>
      <c r="F30" s="2" t="n">
        <v>119607</v>
      </c>
      <c r="G30" s="2"/>
      <c r="H30" s="2"/>
      <c r="L30" s="4" t="n">
        <v>1.46503351047765</v>
      </c>
      <c r="M30" s="2" t="n">
        <v>171.862964346015</v>
      </c>
    </row>
    <row r="31" customFormat="false" ht="12.8" hidden="false" customHeight="false" outlineLevel="0" collapsed="false">
      <c r="C31" s="2" t="n">
        <v>134910</v>
      </c>
      <c r="D31" s="2" t="n">
        <v>-186506</v>
      </c>
      <c r="E31" s="2" t="n">
        <v>-508369</v>
      </c>
      <c r="F31" s="2" t="n">
        <v>119616</v>
      </c>
      <c r="G31" s="2"/>
      <c r="H31" s="2"/>
      <c r="L31" s="2" t="n">
        <v>0.999999543449333</v>
      </c>
      <c r="M31" s="2" t="n">
        <v>251.508593510555</v>
      </c>
    </row>
    <row r="32" customFormat="false" ht="12.8" hidden="false" customHeight="false" outlineLevel="0" collapsed="false">
      <c r="C32" s="2" t="n">
        <v>134882</v>
      </c>
      <c r="D32" s="2" t="n">
        <v>-186468</v>
      </c>
      <c r="E32" s="2" t="n">
        <v>-508362</v>
      </c>
      <c r="F32" s="2" t="n">
        <v>119579</v>
      </c>
      <c r="G32" s="2"/>
      <c r="H32" s="2"/>
      <c r="L32" s="2" t="n">
        <v>4380672.79501128</v>
      </c>
      <c r="M32" s="2" t="n">
        <v>2</v>
      </c>
    </row>
    <row r="33" customFormat="false" ht="12.8" hidden="false" customHeight="false" outlineLevel="0" collapsed="false">
      <c r="C33" s="2" t="n">
        <v>134857</v>
      </c>
      <c r="D33" s="2" t="n">
        <v>-186507</v>
      </c>
      <c r="E33" s="2" t="n">
        <v>-508311</v>
      </c>
      <c r="F33" s="2" t="n">
        <v>119568</v>
      </c>
      <c r="G33" s="2"/>
      <c r="H33" s="2"/>
      <c r="L33" s="2" t="n">
        <v>277106346736.782</v>
      </c>
      <c r="M33" s="2" t="n">
        <v>126513.145219315</v>
      </c>
    </row>
    <row r="34" customFormat="false" ht="12.8" hidden="false" customHeight="false" outlineLevel="0" collapsed="false">
      <c r="C34" s="2" t="n">
        <v>134830</v>
      </c>
      <c r="D34" s="2" t="n">
        <v>-186466</v>
      </c>
      <c r="E34" s="2" t="n">
        <v>-508279</v>
      </c>
      <c r="F34" s="2" t="n">
        <v>119610</v>
      </c>
      <c r="G34" s="2"/>
      <c r="H34" s="2"/>
      <c r="L34" s="2"/>
      <c r="M34" s="2"/>
    </row>
    <row r="35" customFormat="false" ht="12.8" hidden="false" customHeight="false" outlineLevel="0" collapsed="false">
      <c r="C35" s="2" t="n">
        <v>134814</v>
      </c>
      <c r="D35" s="2" t="n">
        <v>-186467</v>
      </c>
      <c r="E35" s="2" t="n">
        <v>-508278</v>
      </c>
      <c r="F35" s="2" t="n">
        <v>119592</v>
      </c>
      <c r="G35" s="2"/>
      <c r="H35" s="2"/>
      <c r="L35" s="2" t="s">
        <v>18</v>
      </c>
      <c r="M35" s="2"/>
    </row>
    <row r="36" customFormat="false" ht="12.8" hidden="false" customHeight="false" outlineLevel="0" collapsed="false">
      <c r="C36" s="2" t="n">
        <v>134771</v>
      </c>
      <c r="D36" s="2" t="n">
        <v>-186506</v>
      </c>
      <c r="E36" s="2" t="n">
        <v>-508303</v>
      </c>
      <c r="F36" s="2" t="n">
        <v>119537</v>
      </c>
      <c r="G36" s="2"/>
      <c r="H36" s="2"/>
      <c r="L36" s="2" t="s">
        <v>19</v>
      </c>
      <c r="M36" s="2" t="n">
        <f aca="false">$L$31</f>
        <v>0.999999543449333</v>
      </c>
    </row>
    <row r="37" customFormat="false" ht="12.8" hidden="false" customHeight="false" outlineLevel="0" collapsed="false">
      <c r="C37" s="2" t="n">
        <v>134754</v>
      </c>
      <c r="D37" s="2" t="n">
        <v>-186516</v>
      </c>
      <c r="E37" s="2" t="n">
        <v>-508257</v>
      </c>
      <c r="F37" s="2" t="n">
        <v>119560</v>
      </c>
      <c r="G37" s="2"/>
      <c r="H37" s="2"/>
      <c r="L37" s="2" t="s">
        <v>20</v>
      </c>
      <c r="M37" s="2" t="n">
        <f aca="false">$M$31</f>
        <v>251.508593510555</v>
      </c>
    </row>
    <row r="38" customFormat="false" ht="12.8" hidden="false" customHeight="false" outlineLevel="0" collapsed="false">
      <c r="C38" s="2" t="n">
        <v>134717</v>
      </c>
      <c r="D38" s="2" t="n">
        <v>-186522</v>
      </c>
      <c r="E38" s="2" t="n">
        <v>-508291</v>
      </c>
      <c r="F38" s="2" t="n">
        <v>119512</v>
      </c>
      <c r="G38" s="2"/>
      <c r="H38" s="2"/>
      <c r="L38" s="2" t="s">
        <v>21</v>
      </c>
      <c r="M38" s="2" t="n">
        <f aca="false">1</f>
        <v>1</v>
      </c>
    </row>
    <row r="39" customFormat="false" ht="12.8" hidden="false" customHeight="false" outlineLevel="0" collapsed="false">
      <c r="C39" s="2" t="n">
        <v>134721</v>
      </c>
      <c r="D39" s="2" t="n">
        <v>-186517</v>
      </c>
      <c r="E39" s="2" t="n">
        <v>-508329</v>
      </c>
      <c r="F39" s="2" t="n">
        <v>119533</v>
      </c>
      <c r="G39" s="2"/>
      <c r="H39" s="2"/>
      <c r="L39" s="2" t="s">
        <v>22</v>
      </c>
      <c r="M39" s="2" t="n">
        <f aca="false">4</f>
        <v>4</v>
      </c>
    </row>
    <row r="40" customFormat="false" ht="12.8" hidden="false" customHeight="false" outlineLevel="0" collapsed="false">
      <c r="C40" s="2" t="n">
        <v>134760</v>
      </c>
      <c r="D40" s="2" t="n">
        <v>-186450</v>
      </c>
      <c r="E40" s="2" t="n">
        <v>-508296</v>
      </c>
      <c r="F40" s="2" t="n">
        <v>119532</v>
      </c>
      <c r="G40" s="2"/>
      <c r="H40" s="2"/>
      <c r="L40" s="2" t="s">
        <v>23</v>
      </c>
      <c r="M40" s="2" t="n">
        <f aca="false">1 - (1 - $L$31)*($M$39 - 1)/($M$39 - $M$38 - 1)</f>
        <v>0.999999315173999</v>
      </c>
    </row>
    <row r="41" customFormat="false" ht="12.8" hidden="false" customHeight="false" outlineLevel="0" collapsed="false">
      <c r="C41" s="2" t="n">
        <v>134728</v>
      </c>
      <c r="D41" s="2" t="n">
        <v>-186444</v>
      </c>
      <c r="E41" s="2" t="n">
        <v>-508218</v>
      </c>
      <c r="F41" s="2" t="n">
        <v>119549</v>
      </c>
      <c r="G41" s="2"/>
      <c r="H41" s="2"/>
      <c r="L41" s="2"/>
      <c r="M41" s="2"/>
    </row>
    <row r="42" customFormat="false" ht="12.8" hidden="false" customHeight="false" outlineLevel="0" collapsed="false">
      <c r="C42" s="2" t="n">
        <v>134755</v>
      </c>
      <c r="D42" s="2" t="n">
        <v>-186501</v>
      </c>
      <c r="E42" s="2" t="n">
        <v>-508266</v>
      </c>
      <c r="F42" s="2" t="n">
        <v>119567</v>
      </c>
      <c r="G42" s="2"/>
      <c r="H42" s="2"/>
      <c r="L42" s="2" t="s">
        <v>24</v>
      </c>
      <c r="M42" s="2"/>
    </row>
    <row r="43" customFormat="false" ht="12.8" hidden="false" customHeight="false" outlineLevel="0" collapsed="false">
      <c r="C43" s="2" t="n">
        <v>134748</v>
      </c>
      <c r="D43" s="2" t="n">
        <v>-186460</v>
      </c>
      <c r="E43" s="2" t="n">
        <v>-508279</v>
      </c>
      <c r="F43" s="2" t="n">
        <v>119563</v>
      </c>
      <c r="G43" s="2"/>
      <c r="H43" s="2"/>
      <c r="L43" s="2"/>
      <c r="M43" s="2" t="s">
        <v>25</v>
      </c>
      <c r="N43" s="2" t="s">
        <v>26</v>
      </c>
      <c r="O43" s="2" t="s">
        <v>27</v>
      </c>
      <c r="P43" s="2" t="s">
        <v>28</v>
      </c>
      <c r="Q43" s="2" t="s">
        <v>29</v>
      </c>
    </row>
    <row r="44" customFormat="false" ht="12.8" hidden="false" customHeight="false" outlineLevel="0" collapsed="false">
      <c r="C44" s="2" t="n">
        <v>134743</v>
      </c>
      <c r="D44" s="2" t="n">
        <v>-186474</v>
      </c>
      <c r="E44" s="2" t="n">
        <v>-508243</v>
      </c>
      <c r="F44" s="2" t="n">
        <v>119542</v>
      </c>
      <c r="G44" s="2"/>
      <c r="H44" s="2"/>
      <c r="L44" s="2" t="s">
        <v>13</v>
      </c>
      <c r="M44" s="2" t="n">
        <f aca="false">$M$38</f>
        <v>1</v>
      </c>
      <c r="N44" s="2" t="n">
        <f aca="false">$L$33</f>
        <v>277106346736.782</v>
      </c>
      <c r="O44" s="2" t="n">
        <f aca="false">$L$33 / $M$44</f>
        <v>277106346736.782</v>
      </c>
      <c r="P44" s="2" t="n">
        <f aca="false">$L$32</f>
        <v>4380672.79501128</v>
      </c>
      <c r="Q44" s="2" t="n">
        <f aca="false">FDIST($L$32 , $M$44 , $M$32)</f>
        <v>2.28275359603615E-007</v>
      </c>
    </row>
    <row r="45" customFormat="false" ht="12.8" hidden="false" customHeight="false" outlineLevel="0" collapsed="false">
      <c r="C45" s="2" t="n">
        <v>134813</v>
      </c>
      <c r="D45" s="2" t="n">
        <v>-186506</v>
      </c>
      <c r="E45" s="2" t="n">
        <v>-508227</v>
      </c>
      <c r="F45" s="2" t="n">
        <v>119562</v>
      </c>
      <c r="G45" s="2"/>
      <c r="H45" s="2"/>
      <c r="L45" s="2" t="s">
        <v>30</v>
      </c>
      <c r="M45" s="2" t="n">
        <f aca="false">$M$32</f>
        <v>2</v>
      </c>
      <c r="N45" s="2" t="n">
        <f aca="false">$M$33</f>
        <v>126513.145219315</v>
      </c>
      <c r="O45" s="2" t="n">
        <f aca="false">$M$33 / $M$32</f>
        <v>63256.5726096575</v>
      </c>
    </row>
    <row r="46" customFormat="false" ht="12.8" hidden="false" customHeight="false" outlineLevel="0" collapsed="false">
      <c r="C46" s="2" t="n">
        <v>134773</v>
      </c>
      <c r="D46" s="2" t="n">
        <v>-186481</v>
      </c>
      <c r="E46" s="2" t="n">
        <v>-508228</v>
      </c>
      <c r="F46" s="2" t="n">
        <v>119562</v>
      </c>
      <c r="G46" s="2"/>
      <c r="H46" s="2"/>
      <c r="L46" s="2" t="s">
        <v>31</v>
      </c>
      <c r="M46" s="2" t="n">
        <f aca="false">$M$44 + $M$32</f>
        <v>3</v>
      </c>
      <c r="N46" s="2" t="n">
        <f aca="false">$L$33 + $M$33</f>
        <v>277106473249.928</v>
      </c>
    </row>
    <row r="47" customFormat="false" ht="12.8" hidden="false" customHeight="false" outlineLevel="0" collapsed="false">
      <c r="C47" s="2" t="n">
        <v>134772</v>
      </c>
      <c r="D47" s="2" t="n">
        <v>-186460</v>
      </c>
      <c r="E47" s="2" t="n">
        <v>-508244</v>
      </c>
      <c r="F47" s="2" t="n">
        <v>119573</v>
      </c>
      <c r="G47" s="2"/>
      <c r="H47" s="2"/>
      <c r="L47" s="2"/>
    </row>
    <row r="48" customFormat="false" ht="12.8" hidden="false" customHeight="false" outlineLevel="0" collapsed="false">
      <c r="C48" s="2" t="n">
        <v>134802</v>
      </c>
      <c r="D48" s="2" t="n">
        <v>-186496</v>
      </c>
      <c r="E48" s="2" t="n">
        <v>-508234</v>
      </c>
      <c r="F48" s="2" t="n">
        <v>119504</v>
      </c>
      <c r="G48" s="2"/>
      <c r="H48" s="2"/>
      <c r="L48" s="2" t="s">
        <v>32</v>
      </c>
      <c r="M48" s="2" t="n">
        <v>0.95</v>
      </c>
      <c r="N48" s="2"/>
      <c r="O48" s="2"/>
      <c r="P48" s="2"/>
      <c r="Q48" s="2"/>
    </row>
    <row r="49" customFormat="false" ht="12.8" hidden="false" customHeight="false" outlineLevel="0" collapsed="false">
      <c r="C49" s="2" t="n">
        <v>134800</v>
      </c>
      <c r="D49" s="2" t="n">
        <v>-186479</v>
      </c>
      <c r="E49" s="2" t="n">
        <v>-508275</v>
      </c>
      <c r="F49" s="2" t="n">
        <v>119532</v>
      </c>
      <c r="G49" s="2"/>
      <c r="H49" s="2"/>
      <c r="L49" s="2"/>
      <c r="M49" s="2"/>
      <c r="N49" s="2"/>
      <c r="O49" s="2"/>
      <c r="P49" s="2"/>
      <c r="Q49" s="2"/>
    </row>
    <row r="50" customFormat="false" ht="12.8" hidden="false" customHeight="false" outlineLevel="0" collapsed="false">
      <c r="C50" s="2" t="n">
        <v>134728</v>
      </c>
      <c r="D50" s="2" t="n">
        <v>-186469</v>
      </c>
      <c r="E50" s="2" t="n">
        <v>-508261</v>
      </c>
      <c r="F50" s="2" t="n">
        <v>119536</v>
      </c>
      <c r="G50" s="2"/>
      <c r="H50" s="2"/>
      <c r="L50" s="2"/>
      <c r="M50" s="2" t="s">
        <v>33</v>
      </c>
      <c r="N50" s="2" t="s">
        <v>20</v>
      </c>
      <c r="O50" s="2" t="s">
        <v>34</v>
      </c>
      <c r="P50" s="2" t="s">
        <v>35</v>
      </c>
      <c r="Q50" s="2" t="str">
        <f aca="false">_xlfn.CONCAT("Lower " , INT($M$48 * 100) , "%")</f>
        <v>Lower 95%</v>
      </c>
      <c r="R50" s="2" t="str">
        <f aca="false">_xlfn.CONCAT("Upper " , INT($M$48 * 100) , "%")</f>
        <v>Upper 95%</v>
      </c>
    </row>
    <row r="51" customFormat="false" ht="12.8" hidden="false" customHeight="false" outlineLevel="0" collapsed="false">
      <c r="C51" s="2" t="n">
        <v>134743</v>
      </c>
      <c r="D51" s="2" t="n">
        <v>-186448</v>
      </c>
      <c r="E51" s="2" t="n">
        <v>-508253</v>
      </c>
      <c r="F51" s="2" t="n">
        <v>119538</v>
      </c>
      <c r="G51" s="2"/>
      <c r="H51" s="2"/>
      <c r="L51" s="2" t="str">
        <f aca="false">"Intercept"</f>
        <v>Intercept</v>
      </c>
      <c r="M51" s="2" t="n">
        <f aca="false" t="array" ref="M51:M52">INDEX($L$29:$M$29, 1 , 53 - ROW())</f>
        <v>135104.974284941</v>
      </c>
      <c r="N51" s="2" t="n">
        <f aca="false" t="array" ref="N51:N52">INDEX($L$30:$M$30, 1 , 53 - ROW())</f>
        <v>171.862964346015</v>
      </c>
      <c r="O51" s="2" t="n">
        <f aca="false" t="array" ref="O51:O52">$M$51:$M$52 / $N$51:$N$52</f>
        <v>786.12035349822</v>
      </c>
      <c r="P51" s="2" t="n">
        <f aca="false" t="array" ref="P51:P52">TDIST(ABS($O$51:$O$52) , $M$32 , 2 )</f>
        <v>1.61815777511242E-006</v>
      </c>
      <c r="Q51" s="2" t="n">
        <f aca="false" t="array" ref="Q51:Q52">$M$51:$M$52 - $N$51:$N$52 * TINV(1 - $M$48 , $M$32)</f>
        <v>134365.507632255</v>
      </c>
      <c r="R51" s="2" t="n">
        <f aca="false" t="array" ref="R51:R52">$M$51:$M$52 + $N$51:$N$52 * TINV(1 - $M$48 , $M$32)</f>
        <v>135844.440937628</v>
      </c>
    </row>
    <row r="52" customFormat="false" ht="12.8" hidden="false" customHeight="false" outlineLevel="0" collapsed="false">
      <c r="C52" s="2" t="n">
        <v>134813</v>
      </c>
      <c r="D52" s="2" t="n">
        <v>-186469</v>
      </c>
      <c r="E52" s="2" t="n">
        <v>-508252</v>
      </c>
      <c r="F52" s="2" t="n">
        <v>119567</v>
      </c>
      <c r="G52" s="2"/>
      <c r="H52" s="2"/>
      <c r="L52" s="2" t="str">
        <f aca="false">"X1"</f>
        <v>X1</v>
      </c>
      <c r="M52" s="2" t="n">
        <v>3066.32346529441</v>
      </c>
      <c r="N52" s="2" t="n">
        <v>1.46503351047765</v>
      </c>
      <c r="O52" s="2" t="n">
        <v>2093.00568441925</v>
      </c>
      <c r="P52" s="2" t="n">
        <v>2.28275359603615E-007</v>
      </c>
      <c r="Q52" s="2" t="n">
        <v>3060.01993486138</v>
      </c>
      <c r="R52" s="2" t="n">
        <v>3072.62699572745</v>
      </c>
    </row>
    <row r="53" customFormat="false" ht="12.8" hidden="false" customHeight="false" outlineLevel="0" collapsed="false">
      <c r="C53" s="2" t="n">
        <v>134829</v>
      </c>
      <c r="D53" s="2" t="n">
        <v>-186381</v>
      </c>
      <c r="E53" s="2" t="n">
        <v>-508289</v>
      </c>
      <c r="F53" s="2" t="n">
        <v>119592</v>
      </c>
      <c r="G53" s="2"/>
      <c r="H53" s="2"/>
      <c r="L53" s="2"/>
      <c r="M53" s="2"/>
    </row>
    <row r="54" customFormat="false" ht="12.8" hidden="false" customHeight="false" outlineLevel="0" collapsed="false">
      <c r="B54" s="2" t="s">
        <v>6</v>
      </c>
      <c r="C54" s="2" t="n">
        <f aca="false">AVERAGE(C4:C53)</f>
        <v>134845.9</v>
      </c>
      <c r="D54" s="2" t="n">
        <f aca="false">AVERAGE(D4:D53)</f>
        <v>-186443.74</v>
      </c>
      <c r="E54" s="2" t="n">
        <f aca="false">AVERAGE(E4:E53)</f>
        <v>-508269.14</v>
      </c>
      <c r="F54" s="2" t="n">
        <f aca="false">AVERAGE(F4:F53)</f>
        <v>119553.98</v>
      </c>
      <c r="G54" s="2"/>
      <c r="H54" s="2"/>
      <c r="L54" s="2" t="str">
        <f aca="false">"X1"</f>
        <v>X1</v>
      </c>
      <c r="M54" s="2" t="s">
        <v>36</v>
      </c>
      <c r="N54" s="2" t="str">
        <f aca="false">"Y"</f>
        <v>Y</v>
      </c>
      <c r="O54" s="2" t="s">
        <v>30</v>
      </c>
    </row>
    <row r="55" customFormat="false" ht="12.8" hidden="false" customHeight="false" outlineLevel="0" collapsed="false">
      <c r="L55" s="2" t="n">
        <f aca="false" t="array" ref="L55:L58">$K$5:$K$8</f>
        <v>0</v>
      </c>
      <c r="M55" s="2" t="n">
        <f aca="false" t="array" ref="M55:M58">MMULT($L$55:$L$58 , $M$52) + $M$51</f>
        <v>135104.974284941</v>
      </c>
      <c r="N55" s="2" t="n">
        <f aca="false" t="array" ref="N55:N58">$L$5:$L$8</f>
        <v>134845.9</v>
      </c>
      <c r="O55" s="2" t="n">
        <f aca="false" t="array" ref="O55:O58">$N$55:$N$58 - $M$55:$M$58</f>
        <v>-259.074284941424</v>
      </c>
      <c r="P55" s="2"/>
      <c r="Q55" s="2"/>
      <c r="R55" s="2"/>
    </row>
    <row r="56" customFormat="false" ht="12.8" hidden="false" customHeight="false" outlineLevel="0" collapsed="false">
      <c r="D56" s="2"/>
      <c r="E56" s="2"/>
      <c r="F56" s="2"/>
      <c r="H56" s="2" t="n">
        <v>73</v>
      </c>
      <c r="L56" s="2" t="n">
        <v>-104.9</v>
      </c>
      <c r="M56" s="2" t="n">
        <v>-186552.357224443</v>
      </c>
      <c r="N56" s="2" t="n">
        <v>-186443.74</v>
      </c>
      <c r="O56" s="2" t="n">
        <v>108.617224442743</v>
      </c>
      <c r="P56" s="2"/>
      <c r="Q56" s="2"/>
      <c r="R56" s="2"/>
    </row>
    <row r="57" customFormat="false" ht="12.8" hidden="false" customHeight="false" outlineLevel="0" collapsed="false">
      <c r="A57" s="2" t="s">
        <v>37</v>
      </c>
      <c r="L57" s="2" t="n">
        <v>-209.8</v>
      </c>
      <c r="M57" s="2" t="n">
        <v>-508209.688733827</v>
      </c>
      <c r="N57" s="2" t="n">
        <v>-508269.14</v>
      </c>
      <c r="O57" s="2" t="n">
        <v>-59.4512661731569</v>
      </c>
      <c r="P57" s="2"/>
      <c r="Q57" s="2"/>
      <c r="R57" s="2"/>
    </row>
    <row r="58" customFormat="false" ht="12.8" hidden="false" customHeight="false" outlineLevel="0" collapsed="false">
      <c r="A58" s="2" t="s">
        <v>38</v>
      </c>
      <c r="L58" s="2" t="n">
        <v>-5.14</v>
      </c>
      <c r="M58" s="2" t="n">
        <v>119344.071673328</v>
      </c>
      <c r="N58" s="2" t="n">
        <v>119553.98</v>
      </c>
      <c r="O58" s="2" t="n">
        <v>209.908326671866</v>
      </c>
    </row>
    <row r="59" customFormat="false" ht="12.8" hidden="false" customHeight="false" outlineLevel="0" collapsed="false">
      <c r="A59" s="2" t="s">
        <v>39</v>
      </c>
      <c r="L59" s="2"/>
      <c r="M59" s="2"/>
      <c r="N59" s="2"/>
      <c r="O59" s="2"/>
    </row>
    <row r="60" customFormat="false" ht="12.8" hidden="false" customHeight="false" outlineLevel="0" collapsed="false">
      <c r="A60" s="2" t="s">
        <v>40</v>
      </c>
      <c r="L60" s="2"/>
      <c r="M60" s="2"/>
      <c r="N60" s="2"/>
      <c r="O60" s="2"/>
    </row>
    <row r="61" customFormat="false" ht="12.8" hidden="false" customHeight="false" outlineLevel="0" collapsed="false">
      <c r="L61" s="2"/>
      <c r="M61" s="2"/>
      <c r="N61" s="2"/>
      <c r="O61" s="2"/>
    </row>
    <row r="62" customFormat="false" ht="12.8" hidden="false" customHeight="false" outlineLevel="0" collapsed="false">
      <c r="L62" s="2"/>
      <c r="M62" s="2"/>
      <c r="N62" s="2"/>
      <c r="O62" s="2"/>
    </row>
    <row r="63" customFormat="false" ht="12.8" hidden="false" customHeight="false" outlineLevel="0" collapsed="false">
      <c r="L63" s="2"/>
      <c r="M63" s="2"/>
      <c r="N63" s="2"/>
      <c r="O63" s="2"/>
    </row>
    <row r="64" customFormat="false" ht="12.8" hidden="false" customHeight="false" outlineLevel="0" collapsed="false">
      <c r="L64" s="2"/>
      <c r="M64" s="2"/>
      <c r="N64" s="2"/>
      <c r="O64" s="2"/>
    </row>
    <row r="65" customFormat="false" ht="12.8" hidden="false" customHeight="false" outlineLevel="0" collapsed="false">
      <c r="L65" s="2"/>
      <c r="M65" s="2"/>
      <c r="N65" s="2"/>
      <c r="O6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" min="1" style="1" width="11.84"/>
    <col collapsed="false" customWidth="true" hidden="false" outlineLevel="0" max="7" min="7" style="2" width="22.09"/>
    <col collapsed="false" customWidth="true" hidden="false" outlineLevel="0" max="64" min="8" style="1" width="11.84"/>
  </cols>
  <sheetData>
    <row r="1" customFormat="false" ht="12.8" hidden="false" customHeight="false" outlineLevel="0" collapsed="false">
      <c r="E1" s="2" t="s">
        <v>41</v>
      </c>
      <c r="F1" s="2" t="s">
        <v>42</v>
      </c>
      <c r="G1" s="2" t="s">
        <v>43</v>
      </c>
      <c r="H1" s="2" t="s">
        <v>44</v>
      </c>
    </row>
    <row r="2" customFormat="false" ht="12.8" hidden="false" customHeight="false" outlineLevel="0" collapsed="false">
      <c r="E2" s="2" t="n">
        <v>142641</v>
      </c>
      <c r="F2" s="2" t="n">
        <v>134669</v>
      </c>
      <c r="G2" s="2" t="n">
        <v>-274395</v>
      </c>
      <c r="H2" s="2" t="n">
        <v>150012</v>
      </c>
      <c r="L2" s="2" t="s">
        <v>45</v>
      </c>
      <c r="M2" s="2" t="n">
        <v>134712</v>
      </c>
    </row>
    <row r="3" customFormat="false" ht="12.8" hidden="false" customHeight="false" outlineLevel="0" collapsed="false">
      <c r="E3" s="2" t="n">
        <v>142688</v>
      </c>
      <c r="F3" s="2" t="n">
        <v>134680</v>
      </c>
      <c r="G3" s="2" t="n">
        <v>-274323</v>
      </c>
      <c r="H3" s="2" t="n">
        <v>150011</v>
      </c>
      <c r="L3" s="2" t="s">
        <v>46</v>
      </c>
      <c r="M3" s="2" t="n">
        <v>-274766</v>
      </c>
    </row>
    <row r="4" customFormat="false" ht="12.8" hidden="false" customHeight="false" outlineLevel="0" collapsed="false">
      <c r="E4" s="2" t="n">
        <v>142651</v>
      </c>
      <c r="F4" s="2" t="n">
        <v>134673</v>
      </c>
      <c r="G4" s="2" t="n">
        <v>-274278</v>
      </c>
      <c r="H4" s="2" t="n">
        <v>150071</v>
      </c>
    </row>
    <row r="5" customFormat="false" ht="12.8" hidden="false" customHeight="false" outlineLevel="0" collapsed="false">
      <c r="E5" s="2" t="n">
        <v>142665</v>
      </c>
      <c r="F5" s="2" t="n">
        <v>134714</v>
      </c>
      <c r="G5" s="2" t="n">
        <v>-274285</v>
      </c>
      <c r="H5" s="2" t="n">
        <v>150116</v>
      </c>
      <c r="L5" s="2" t="s">
        <v>47</v>
      </c>
    </row>
    <row r="6" customFormat="false" ht="12.8" hidden="false" customHeight="false" outlineLevel="0" collapsed="false">
      <c r="E6" s="2" t="n">
        <v>142715</v>
      </c>
      <c r="F6" s="2" t="n">
        <v>134670</v>
      </c>
      <c r="G6" s="2" t="n">
        <v>-274405</v>
      </c>
      <c r="H6" s="2" t="n">
        <v>150080</v>
      </c>
    </row>
    <row r="7" customFormat="false" ht="12.8" hidden="false" customHeight="false" outlineLevel="0" collapsed="false">
      <c r="E7" s="2" t="n">
        <v>142665</v>
      </c>
      <c r="F7" s="2" t="n">
        <v>134670</v>
      </c>
      <c r="G7" s="2" t="n">
        <v>-274322</v>
      </c>
      <c r="H7" s="2" t="n">
        <v>150034</v>
      </c>
      <c r="L7" s="2" t="s">
        <v>48</v>
      </c>
    </row>
    <row r="8" customFormat="false" ht="12.8" hidden="false" customHeight="false" outlineLevel="0" collapsed="false">
      <c r="E8" s="2" t="n">
        <v>142702</v>
      </c>
      <c r="F8" s="2" t="n">
        <v>134734</v>
      </c>
      <c r="G8" s="2" t="n">
        <v>-274346</v>
      </c>
      <c r="H8" s="2" t="n">
        <v>150081</v>
      </c>
      <c r="L8" s="2" t="s">
        <v>49</v>
      </c>
    </row>
    <row r="9" customFormat="false" ht="12.8" hidden="false" customHeight="false" outlineLevel="0" collapsed="false">
      <c r="E9" s="2" t="n">
        <v>142729</v>
      </c>
      <c r="F9" s="2" t="n">
        <v>134676</v>
      </c>
      <c r="G9" s="2" t="n">
        <v>-274643</v>
      </c>
      <c r="H9" s="2" t="n">
        <v>150039</v>
      </c>
      <c r="L9" s="2" t="s">
        <v>50</v>
      </c>
    </row>
    <row r="10" customFormat="false" ht="12.8" hidden="false" customHeight="false" outlineLevel="0" collapsed="false">
      <c r="E10" s="2" t="n">
        <v>142713</v>
      </c>
      <c r="F10" s="2" t="n">
        <v>134657</v>
      </c>
      <c r="G10" s="2" t="n">
        <v>-274370</v>
      </c>
      <c r="H10" s="2" t="n">
        <v>150025</v>
      </c>
    </row>
    <row r="11" customFormat="false" ht="12.8" hidden="false" customHeight="false" outlineLevel="0" collapsed="false">
      <c r="E11" s="2" t="n">
        <v>142749</v>
      </c>
      <c r="F11" s="2" t="n">
        <v>134689</v>
      </c>
      <c r="G11" s="2" t="n">
        <v>-274437</v>
      </c>
      <c r="H11" s="2" t="n">
        <v>150078</v>
      </c>
    </row>
    <row r="12" customFormat="false" ht="12.8" hidden="false" customHeight="false" outlineLevel="0" collapsed="false">
      <c r="E12" s="2" t="n">
        <v>142756</v>
      </c>
      <c r="F12" s="2" t="n">
        <v>134712</v>
      </c>
      <c r="G12" s="2" t="n">
        <v>-274451</v>
      </c>
      <c r="H12" s="2" t="n">
        <v>150047</v>
      </c>
    </row>
    <row r="13" customFormat="false" ht="12.8" hidden="false" customHeight="false" outlineLevel="0" collapsed="false">
      <c r="E13" s="2" t="n">
        <v>142746</v>
      </c>
      <c r="F13" s="2" t="n">
        <v>134752</v>
      </c>
      <c r="G13" s="2" t="n">
        <v>-274453</v>
      </c>
      <c r="H13" s="2" t="n">
        <v>150031</v>
      </c>
    </row>
    <row r="14" customFormat="false" ht="12.8" hidden="false" customHeight="false" outlineLevel="0" collapsed="false">
      <c r="E14" s="2" t="n">
        <v>142762</v>
      </c>
      <c r="F14" s="2" t="n">
        <v>134757</v>
      </c>
      <c r="G14" s="2" t="n">
        <v>-274467</v>
      </c>
      <c r="H14" s="2" t="n">
        <v>150022</v>
      </c>
    </row>
    <row r="15" customFormat="false" ht="12.8" hidden="false" customHeight="false" outlineLevel="0" collapsed="false">
      <c r="E15" s="2" t="n">
        <v>142764</v>
      </c>
      <c r="F15" s="2" t="n">
        <v>134732</v>
      </c>
      <c r="G15" s="2" t="n">
        <v>-274494</v>
      </c>
      <c r="H15" s="2" t="n">
        <v>149980</v>
      </c>
    </row>
    <row r="16" customFormat="false" ht="12.8" hidden="false" customHeight="false" outlineLevel="0" collapsed="false">
      <c r="E16" s="2" t="n">
        <v>142780</v>
      </c>
      <c r="F16" s="2" t="n">
        <v>134736</v>
      </c>
      <c r="G16" s="2" t="n">
        <v>-274612</v>
      </c>
      <c r="H16" s="2" t="n">
        <v>150121</v>
      </c>
    </row>
    <row r="17" customFormat="false" ht="12.8" hidden="false" customHeight="false" outlineLevel="0" collapsed="false">
      <c r="E17" s="2" t="n">
        <v>142781</v>
      </c>
      <c r="F17" s="2" t="n">
        <v>134713</v>
      </c>
      <c r="G17" s="2" t="n">
        <v>-274551</v>
      </c>
      <c r="H17" s="2" t="n">
        <v>150002</v>
      </c>
    </row>
    <row r="18" customFormat="false" ht="12.8" hidden="false" customHeight="false" outlineLevel="0" collapsed="false">
      <c r="E18" s="2" t="n">
        <v>142774</v>
      </c>
      <c r="F18" s="2" t="n">
        <v>134739</v>
      </c>
      <c r="G18" s="2" t="n">
        <v>-274465</v>
      </c>
      <c r="H18" s="2" t="n">
        <v>150081</v>
      </c>
    </row>
    <row r="19" customFormat="false" ht="12.8" hidden="false" customHeight="false" outlineLevel="0" collapsed="false">
      <c r="E19" s="2" t="n">
        <v>142848</v>
      </c>
      <c r="F19" s="2" t="n">
        <v>134716</v>
      </c>
      <c r="G19" s="2" t="n">
        <v>-274570</v>
      </c>
      <c r="H19" s="2" t="n">
        <v>150003</v>
      </c>
    </row>
    <row r="20" customFormat="false" ht="12.8" hidden="false" customHeight="false" outlineLevel="0" collapsed="false">
      <c r="E20" s="2" t="n">
        <v>142771</v>
      </c>
      <c r="F20" s="2" t="n">
        <v>134702</v>
      </c>
      <c r="G20" s="2" t="n">
        <v>-274558</v>
      </c>
      <c r="H20" s="2" t="n">
        <v>150063</v>
      </c>
    </row>
    <row r="21" customFormat="false" ht="12.8" hidden="false" customHeight="false" outlineLevel="0" collapsed="false">
      <c r="E21" s="2" t="n">
        <v>142874</v>
      </c>
      <c r="F21" s="2" t="n">
        <v>134695</v>
      </c>
      <c r="G21" s="2" t="n">
        <v>-274568</v>
      </c>
      <c r="H21" s="2" t="n">
        <v>150080</v>
      </c>
    </row>
    <row r="22" customFormat="false" ht="12.8" hidden="false" customHeight="false" outlineLevel="0" collapsed="false">
      <c r="E22" s="2" t="n">
        <v>142790</v>
      </c>
      <c r="F22" s="2" t="n">
        <v>134724</v>
      </c>
      <c r="G22" s="2" t="n">
        <v>-274568</v>
      </c>
      <c r="H22" s="2" t="n">
        <v>149985</v>
      </c>
    </row>
    <row r="23" customFormat="false" ht="12.8" hidden="false" customHeight="false" outlineLevel="0" collapsed="false">
      <c r="E23" s="2" t="n">
        <v>142771</v>
      </c>
      <c r="F23" s="2" t="n">
        <v>134723</v>
      </c>
      <c r="G23" s="2" t="n">
        <v>-274557</v>
      </c>
      <c r="H23" s="2" t="n">
        <v>150043</v>
      </c>
    </row>
    <row r="24" customFormat="false" ht="12.8" hidden="false" customHeight="false" outlineLevel="0" collapsed="false">
      <c r="E24" s="2" t="n">
        <v>142769</v>
      </c>
      <c r="F24" s="2" t="n">
        <v>134682</v>
      </c>
      <c r="G24" s="2" t="n">
        <v>-274640</v>
      </c>
      <c r="H24" s="2" t="n">
        <v>150048</v>
      </c>
    </row>
    <row r="25" customFormat="false" ht="12.8" hidden="false" customHeight="false" outlineLevel="0" collapsed="false">
      <c r="E25" s="2" t="n">
        <v>142792</v>
      </c>
      <c r="F25" s="2" t="n">
        <v>134697</v>
      </c>
      <c r="G25" s="2" t="n">
        <v>-274631</v>
      </c>
      <c r="H25" s="2" t="n">
        <v>150056</v>
      </c>
    </row>
    <row r="26" customFormat="false" ht="12.8" hidden="false" customHeight="false" outlineLevel="0" collapsed="false">
      <c r="E26" s="2" t="n">
        <v>142747</v>
      </c>
      <c r="F26" s="2" t="n">
        <v>134691</v>
      </c>
      <c r="G26" s="2" t="n">
        <v>-274626</v>
      </c>
      <c r="H26" s="2" t="n">
        <v>150065</v>
      </c>
    </row>
    <row r="27" customFormat="false" ht="12.8" hidden="false" customHeight="false" outlineLevel="0" collapsed="false">
      <c r="E27" s="2" t="n">
        <v>142766</v>
      </c>
      <c r="F27" s="2" t="n">
        <v>134733</v>
      </c>
      <c r="G27" s="2" t="n">
        <v>-274685</v>
      </c>
      <c r="H27" s="2" t="n">
        <v>150038</v>
      </c>
    </row>
    <row r="28" customFormat="false" ht="12.8" hidden="false" customHeight="false" outlineLevel="0" collapsed="false">
      <c r="E28" s="2" t="n">
        <v>142739</v>
      </c>
      <c r="F28" s="2" t="n">
        <v>134747</v>
      </c>
      <c r="G28" s="2" t="n">
        <v>-274539</v>
      </c>
      <c r="H28" s="2" t="n">
        <v>150074</v>
      </c>
    </row>
    <row r="29" customFormat="false" ht="12.8" hidden="false" customHeight="false" outlineLevel="0" collapsed="false">
      <c r="E29" s="2" t="n">
        <v>142819</v>
      </c>
      <c r="F29" s="2" t="n">
        <v>134715</v>
      </c>
      <c r="G29" s="2" t="n">
        <v>-274626</v>
      </c>
      <c r="H29" s="2" t="n">
        <v>150037</v>
      </c>
    </row>
    <row r="30" customFormat="false" ht="12.8" hidden="false" customHeight="false" outlineLevel="0" collapsed="false">
      <c r="E30" s="2" t="n">
        <v>142792</v>
      </c>
      <c r="F30" s="2" t="n">
        <v>134742</v>
      </c>
      <c r="G30" s="2" t="n">
        <v>-274674</v>
      </c>
      <c r="H30" s="2" t="n">
        <v>150036</v>
      </c>
    </row>
    <row r="31" customFormat="false" ht="12.8" hidden="false" customHeight="false" outlineLevel="0" collapsed="false">
      <c r="E31" s="2" t="n">
        <v>142775</v>
      </c>
      <c r="F31" s="2" t="n">
        <v>134749</v>
      </c>
      <c r="G31" s="2" t="n">
        <v>-274689</v>
      </c>
      <c r="H31" s="2" t="n">
        <v>150041</v>
      </c>
    </row>
    <row r="32" customFormat="false" ht="12.8" hidden="false" customHeight="false" outlineLevel="0" collapsed="false">
      <c r="E32" s="2" t="n">
        <v>142749</v>
      </c>
      <c r="F32" s="2" t="n">
        <v>134768</v>
      </c>
      <c r="G32" s="2" t="n">
        <v>-274678</v>
      </c>
      <c r="H32" s="2" t="n">
        <v>150067</v>
      </c>
    </row>
    <row r="33" customFormat="false" ht="12.8" hidden="false" customHeight="false" outlineLevel="0" collapsed="false">
      <c r="E33" s="2" t="n">
        <v>142715</v>
      </c>
      <c r="F33" s="2" t="n">
        <v>134706</v>
      </c>
      <c r="G33" s="2" t="n">
        <v>-274677</v>
      </c>
      <c r="H33" s="2" t="n">
        <v>150102</v>
      </c>
    </row>
    <row r="34" customFormat="false" ht="12.8" hidden="false" customHeight="false" outlineLevel="0" collapsed="false">
      <c r="E34" s="2" t="n">
        <v>142782</v>
      </c>
      <c r="F34" s="2" t="n">
        <v>134716</v>
      </c>
      <c r="G34" s="2" t="n">
        <v>-274740</v>
      </c>
      <c r="H34" s="2" t="n">
        <v>150031</v>
      </c>
    </row>
    <row r="35" customFormat="false" ht="12.8" hidden="false" customHeight="false" outlineLevel="0" collapsed="false">
      <c r="E35" s="2" t="n">
        <v>142793</v>
      </c>
      <c r="F35" s="2" t="n">
        <v>134747</v>
      </c>
      <c r="G35" s="2" t="n">
        <v>-274766</v>
      </c>
      <c r="H35" s="2" t="n">
        <v>150069</v>
      </c>
    </row>
    <row r="37" customFormat="false" ht="12.8" hidden="false" customHeight="false" outlineLevel="0" collapsed="false">
      <c r="D37" s="2" t="s">
        <v>6</v>
      </c>
      <c r="E37" s="2" t="n">
        <f aca="false">AVERAGE(E2:E35)</f>
        <v>142752.147058824</v>
      </c>
      <c r="F37" s="2" t="n">
        <f aca="false">AVERAGE(F2:F35)</f>
        <v>134712.529411765</v>
      </c>
      <c r="G37" s="2" t="n">
        <f aca="false">AVERAGE(G2:G35)</f>
        <v>-274532.029411765</v>
      </c>
      <c r="H37" s="2" t="n">
        <f aca="false">AVERAGE(H2:H35)</f>
        <v>150049.088235294</v>
      </c>
    </row>
    <row r="40" customFormat="false" ht="12.8" hidden="false" customHeight="false" outlineLevel="0" collapsed="false">
      <c r="A40" s="2" t="s">
        <v>51</v>
      </c>
    </row>
    <row r="41" customFormat="false" ht="12.8" hidden="false" customHeight="false" outlineLevel="0" collapsed="false">
      <c r="A41" s="2" t="s">
        <v>52</v>
      </c>
    </row>
    <row r="42" customFormat="false" ht="12.8" hidden="false" customHeight="false" outlineLevel="0" collapsed="false">
      <c r="A4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cols>
    <col collapsed="false" customWidth="true" hidden="false" outlineLevel="0" max="64" min="1" style="1" width="11.76"/>
  </cols>
  <sheetData>
    <row r="1" customFormat="false" ht="13" hidden="false" customHeight="false" outlineLevel="0" collapsed="false">
      <c r="C1" s="2" t="s">
        <v>0</v>
      </c>
      <c r="D1" s="2" t="s">
        <v>53</v>
      </c>
      <c r="E1" s="2" t="s">
        <v>54</v>
      </c>
      <c r="F1" s="2" t="s">
        <v>55</v>
      </c>
      <c r="G1" s="2" t="s">
        <v>56</v>
      </c>
      <c r="H1" s="2" t="n">
        <v>13</v>
      </c>
      <c r="I1" s="3" t="s">
        <v>57</v>
      </c>
    </row>
    <row r="2" customFormat="false" ht="12.8" hidden="false" customHeight="false" outlineLevel="0" collapsed="false">
      <c r="B2" s="2" t="s">
        <v>10</v>
      </c>
      <c r="C2" s="2" t="s">
        <v>2</v>
      </c>
      <c r="D2" s="2" t="s">
        <v>58</v>
      </c>
      <c r="E2" s="2" t="s">
        <v>59</v>
      </c>
      <c r="F2" s="2" t="n">
        <v>-39.7</v>
      </c>
      <c r="G2" s="2" t="s">
        <v>60</v>
      </c>
      <c r="H2" s="2" t="n">
        <v>73.7</v>
      </c>
    </row>
    <row r="3" customFormat="false" ht="12.8" hidden="false" customHeight="false" outlineLevel="0" collapsed="false">
      <c r="B3" s="2" t="s">
        <v>61</v>
      </c>
      <c r="D3" s="2" t="n">
        <v>-6</v>
      </c>
      <c r="E3" s="2" t="n">
        <v>-17</v>
      </c>
      <c r="F3" s="2" t="n">
        <v>-39</v>
      </c>
      <c r="G3" s="2" t="s">
        <v>62</v>
      </c>
      <c r="H3" s="2" t="n">
        <v>73</v>
      </c>
    </row>
    <row r="4" customFormat="false" ht="12.8" hidden="false" customHeight="false" outlineLevel="0" collapsed="false">
      <c r="C4" s="2" t="n">
        <v>135224</v>
      </c>
      <c r="D4" s="2" t="n">
        <v>118141</v>
      </c>
      <c r="E4" s="2" t="n">
        <v>82923</v>
      </c>
      <c r="F4" s="2" t="n">
        <v>12488</v>
      </c>
      <c r="G4" s="2" t="n">
        <v>-40853</v>
      </c>
      <c r="H4" s="2" t="n">
        <v>-93581</v>
      </c>
      <c r="K4" s="2" t="s">
        <v>11</v>
      </c>
      <c r="L4" s="2" t="s">
        <v>12</v>
      </c>
    </row>
    <row r="5" customFormat="false" ht="12.8" hidden="false" customHeight="false" outlineLevel="0" collapsed="false">
      <c r="C5" s="2" t="n">
        <v>135216</v>
      </c>
      <c r="D5" s="2" t="n">
        <v>118213</v>
      </c>
      <c r="E5" s="2" t="n">
        <v>82906</v>
      </c>
      <c r="F5" s="2" t="n">
        <v>12519</v>
      </c>
      <c r="G5" s="2" t="n">
        <v>-40841</v>
      </c>
      <c r="H5" s="2" t="n">
        <v>-93590</v>
      </c>
      <c r="K5" s="2" t="n">
        <v>0</v>
      </c>
      <c r="L5" s="2" t="n">
        <v>135138.58</v>
      </c>
    </row>
    <row r="6" customFormat="false" ht="12.8" hidden="false" customHeight="false" outlineLevel="0" collapsed="false">
      <c r="C6" s="2" t="n">
        <v>135262</v>
      </c>
      <c r="D6" s="2" t="n">
        <v>118194</v>
      </c>
      <c r="E6" s="2" t="n">
        <v>82879</v>
      </c>
      <c r="F6" s="2" t="n">
        <v>12556</v>
      </c>
      <c r="G6" s="2" t="n">
        <v>-40846</v>
      </c>
      <c r="H6" s="2" t="n">
        <v>-93654</v>
      </c>
      <c r="K6" s="2" t="n">
        <v>-5.67</v>
      </c>
      <c r="L6" s="2" t="n">
        <v>118194.04</v>
      </c>
    </row>
    <row r="7" customFormat="false" ht="12.8" hidden="false" customHeight="false" outlineLevel="0" collapsed="false">
      <c r="C7" s="2" t="n">
        <v>135282</v>
      </c>
      <c r="D7" s="2" t="n">
        <v>118209</v>
      </c>
      <c r="E7" s="2" t="n">
        <v>82903</v>
      </c>
      <c r="F7" s="2" t="n">
        <v>12612</v>
      </c>
      <c r="G7" s="2" t="n">
        <v>-40848</v>
      </c>
      <c r="H7" s="2" t="n">
        <v>-93650</v>
      </c>
      <c r="K7" s="2" t="n">
        <v>-17.01</v>
      </c>
      <c r="L7" s="2" t="n">
        <v>82914.6</v>
      </c>
    </row>
    <row r="8" customFormat="false" ht="12.8" hidden="false" customHeight="false" outlineLevel="0" collapsed="false">
      <c r="C8" s="2" t="n">
        <v>135201</v>
      </c>
      <c r="D8" s="2" t="n">
        <v>118175</v>
      </c>
      <c r="E8" s="2" t="n">
        <v>82917</v>
      </c>
      <c r="F8" s="2" t="n">
        <v>12651</v>
      </c>
      <c r="G8" s="2" t="n">
        <v>-40770</v>
      </c>
      <c r="H8" s="2" t="n">
        <v>-93656</v>
      </c>
      <c r="K8" s="2" t="n">
        <v>-39.7</v>
      </c>
      <c r="L8" s="2" t="n">
        <v>12600.36</v>
      </c>
    </row>
    <row r="9" customFormat="false" ht="12.8" hidden="false" customHeight="false" outlineLevel="0" collapsed="false">
      <c r="C9" s="2" t="n">
        <v>135181</v>
      </c>
      <c r="D9" s="2" t="n">
        <v>118146</v>
      </c>
      <c r="E9" s="2" t="n">
        <v>82931</v>
      </c>
      <c r="F9" s="2" t="n">
        <v>12596</v>
      </c>
      <c r="G9" s="2" t="n">
        <v>-40730</v>
      </c>
      <c r="H9" s="2" t="n">
        <v>-93633</v>
      </c>
      <c r="K9" s="2" t="n">
        <v>-56.7</v>
      </c>
      <c r="L9" s="2" t="n">
        <v>-40769.68</v>
      </c>
    </row>
    <row r="10" customFormat="false" ht="12.8" hidden="false" customHeight="false" outlineLevel="0" collapsed="false">
      <c r="C10" s="2" t="n">
        <v>135172</v>
      </c>
      <c r="D10" s="2" t="n">
        <v>118136</v>
      </c>
      <c r="E10" s="2" t="n">
        <v>82898</v>
      </c>
      <c r="F10" s="2" t="n">
        <v>12578</v>
      </c>
      <c r="G10" s="2" t="n">
        <v>-40810</v>
      </c>
      <c r="H10" s="2" t="n">
        <v>-93633</v>
      </c>
      <c r="K10" s="2" t="n">
        <v>-73.7</v>
      </c>
      <c r="L10" s="2" t="n">
        <v>-93674.44</v>
      </c>
    </row>
    <row r="11" customFormat="false" ht="12.8" hidden="false" customHeight="false" outlineLevel="0" collapsed="false">
      <c r="C11" s="2" t="n">
        <v>135179</v>
      </c>
      <c r="D11" s="2" t="n">
        <v>118158</v>
      </c>
      <c r="E11" s="2" t="n">
        <v>82900</v>
      </c>
      <c r="F11" s="2" t="n">
        <v>12635</v>
      </c>
      <c r="G11" s="2" t="n">
        <v>-40756</v>
      </c>
      <c r="H11" s="2" t="n">
        <v>-93603</v>
      </c>
    </row>
    <row r="12" customFormat="false" ht="12.8" hidden="false" customHeight="false" outlineLevel="0" collapsed="false">
      <c r="C12" s="2" t="n">
        <v>135253</v>
      </c>
      <c r="D12" s="2" t="n">
        <v>118199</v>
      </c>
      <c r="E12" s="2" t="n">
        <v>82959</v>
      </c>
      <c r="F12" s="2" t="n">
        <v>12592</v>
      </c>
      <c r="G12" s="2" t="n">
        <v>-40731</v>
      </c>
      <c r="H12" s="2" t="n">
        <v>-93586</v>
      </c>
    </row>
    <row r="13" customFormat="false" ht="12.8" hidden="false" customHeight="false" outlineLevel="0" collapsed="false">
      <c r="C13" s="2" t="n">
        <v>135211</v>
      </c>
      <c r="D13" s="2" t="n">
        <v>118209</v>
      </c>
      <c r="E13" s="2" t="n">
        <v>82912</v>
      </c>
      <c r="F13" s="2" t="n">
        <v>12660</v>
      </c>
      <c r="G13" s="2" t="n">
        <v>-40750</v>
      </c>
      <c r="H13" s="2" t="n">
        <v>-93588</v>
      </c>
    </row>
    <row r="14" customFormat="false" ht="12.8" hidden="false" customHeight="false" outlineLevel="0" collapsed="false">
      <c r="C14" s="2" t="n">
        <v>135180</v>
      </c>
      <c r="D14" s="2" t="n">
        <v>118162</v>
      </c>
      <c r="E14" s="2" t="n">
        <v>82858</v>
      </c>
      <c r="F14" s="2" t="n">
        <v>12638</v>
      </c>
      <c r="G14" s="2" t="n">
        <v>-40779</v>
      </c>
      <c r="H14" s="2" t="n">
        <v>-93582</v>
      </c>
    </row>
    <row r="15" customFormat="false" ht="12.8" hidden="false" customHeight="false" outlineLevel="0" collapsed="false">
      <c r="C15" s="2" t="n">
        <v>135230</v>
      </c>
      <c r="D15" s="2" t="n">
        <v>118172</v>
      </c>
      <c r="E15" s="2" t="n">
        <v>82910</v>
      </c>
      <c r="F15" s="2" t="n">
        <v>12597</v>
      </c>
      <c r="G15" s="2" t="n">
        <v>-40770</v>
      </c>
      <c r="H15" s="2" t="n">
        <v>-93596</v>
      </c>
    </row>
    <row r="16" customFormat="false" ht="12.8" hidden="false" customHeight="false" outlineLevel="0" collapsed="false">
      <c r="C16" s="2" t="n">
        <v>135136</v>
      </c>
      <c r="D16" s="2" t="n">
        <v>118194</v>
      </c>
      <c r="E16" s="2" t="n">
        <v>82944</v>
      </c>
      <c r="F16" s="2" t="n">
        <v>12587</v>
      </c>
      <c r="G16" s="2" t="n">
        <v>-40743</v>
      </c>
      <c r="H16" s="2" t="n">
        <v>-93595</v>
      </c>
    </row>
    <row r="17" customFormat="false" ht="12.8" hidden="false" customHeight="false" outlineLevel="0" collapsed="false">
      <c r="C17" s="2" t="n">
        <v>135184</v>
      </c>
      <c r="D17" s="2" t="n">
        <v>118178</v>
      </c>
      <c r="E17" s="2" t="n">
        <v>82904</v>
      </c>
      <c r="F17" s="2" t="n">
        <v>12560</v>
      </c>
      <c r="G17" s="2" t="n">
        <v>-40768</v>
      </c>
      <c r="H17" s="2" t="n">
        <v>-93557</v>
      </c>
    </row>
    <row r="18" customFormat="false" ht="12.8" hidden="false" customHeight="false" outlineLevel="0" collapsed="false">
      <c r="C18" s="2" t="n">
        <v>135154</v>
      </c>
      <c r="D18" s="2" t="n">
        <v>118192</v>
      </c>
      <c r="E18" s="2" t="n">
        <v>82878</v>
      </c>
      <c r="F18" s="2" t="n">
        <v>12587</v>
      </c>
      <c r="G18" s="2" t="n">
        <v>-40790</v>
      </c>
      <c r="H18" s="2" t="n">
        <v>-93662</v>
      </c>
      <c r="V18" s="2" t="s">
        <v>63</v>
      </c>
    </row>
    <row r="19" customFormat="false" ht="12.8" hidden="false" customHeight="false" outlineLevel="0" collapsed="false">
      <c r="C19" s="2" t="n">
        <v>135173</v>
      </c>
      <c r="D19" s="2" t="n">
        <v>118216</v>
      </c>
      <c r="E19" s="2" t="n">
        <v>82883</v>
      </c>
      <c r="F19" s="2" t="n">
        <v>12604</v>
      </c>
      <c r="G19" s="2" t="n">
        <v>-40736</v>
      </c>
      <c r="H19" s="2" t="n">
        <v>-93670</v>
      </c>
    </row>
    <row r="20" customFormat="false" ht="12.8" hidden="false" customHeight="false" outlineLevel="0" collapsed="false">
      <c r="C20" s="2" t="n">
        <v>135159</v>
      </c>
      <c r="D20" s="2" t="n">
        <v>118223</v>
      </c>
      <c r="E20" s="2" t="n">
        <v>82921</v>
      </c>
      <c r="F20" s="2" t="n">
        <v>12578</v>
      </c>
      <c r="G20" s="2" t="n">
        <v>-40752</v>
      </c>
      <c r="H20" s="2" t="n">
        <v>-93681</v>
      </c>
      <c r="V20" s="2" t="s">
        <v>64</v>
      </c>
    </row>
    <row r="21" customFormat="false" ht="12.8" hidden="false" customHeight="false" outlineLevel="0" collapsed="false">
      <c r="C21" s="2" t="n">
        <v>135145</v>
      </c>
      <c r="D21" s="2" t="n">
        <v>118219</v>
      </c>
      <c r="E21" s="2" t="n">
        <v>82858</v>
      </c>
      <c r="F21" s="2" t="n">
        <v>12604</v>
      </c>
      <c r="G21" s="2" t="n">
        <v>-40782</v>
      </c>
      <c r="H21" s="2" t="n">
        <v>-93678</v>
      </c>
    </row>
    <row r="22" customFormat="false" ht="12.8" hidden="false" customHeight="false" outlineLevel="0" collapsed="false">
      <c r="C22" s="2" t="n">
        <v>135121</v>
      </c>
      <c r="D22" s="2" t="n">
        <v>118194</v>
      </c>
      <c r="E22" s="2" t="n">
        <v>82875</v>
      </c>
      <c r="F22" s="2" t="n">
        <v>12622</v>
      </c>
      <c r="G22" s="2" t="n">
        <v>-40717</v>
      </c>
      <c r="H22" s="2" t="n">
        <v>-93633</v>
      </c>
    </row>
    <row r="23" customFormat="false" ht="12.8" hidden="false" customHeight="false" outlineLevel="0" collapsed="false">
      <c r="C23" s="2" t="n">
        <v>135105</v>
      </c>
      <c r="D23" s="2" t="n">
        <v>118197</v>
      </c>
      <c r="E23" s="2" t="n">
        <v>82870</v>
      </c>
      <c r="F23" s="2" t="n">
        <v>12617</v>
      </c>
      <c r="G23" s="2" t="n">
        <v>-40687</v>
      </c>
      <c r="H23" s="2" t="n">
        <v>-93613</v>
      </c>
    </row>
    <row r="24" customFormat="false" ht="12.8" hidden="false" customHeight="false" outlineLevel="0" collapsed="false">
      <c r="C24" s="2" t="n">
        <v>135122</v>
      </c>
      <c r="D24" s="2" t="n">
        <v>118234</v>
      </c>
      <c r="E24" s="2" t="n">
        <v>82922</v>
      </c>
      <c r="F24" s="2" t="n">
        <v>12618</v>
      </c>
      <c r="G24" s="2" t="n">
        <v>-40752</v>
      </c>
      <c r="H24" s="2" t="n">
        <v>-93682</v>
      </c>
    </row>
    <row r="25" customFormat="false" ht="12.8" hidden="false" customHeight="false" outlineLevel="0" collapsed="false">
      <c r="C25" s="2" t="n">
        <v>135121</v>
      </c>
      <c r="D25" s="2" t="n">
        <v>118206</v>
      </c>
      <c r="E25" s="2" t="n">
        <v>82922</v>
      </c>
      <c r="F25" s="2" t="n">
        <v>12585</v>
      </c>
      <c r="G25" s="2" t="n">
        <v>-40766</v>
      </c>
      <c r="H25" s="2" t="n">
        <v>-93699</v>
      </c>
    </row>
    <row r="26" customFormat="false" ht="12.8" hidden="false" customHeight="false" outlineLevel="0" collapsed="false">
      <c r="C26" s="2" t="n">
        <v>135125</v>
      </c>
      <c r="D26" s="2" t="n">
        <v>118206</v>
      </c>
      <c r="E26" s="2" t="n">
        <v>82935</v>
      </c>
      <c r="F26" s="2" t="n">
        <v>12570</v>
      </c>
      <c r="G26" s="2" t="n">
        <v>-40757</v>
      </c>
      <c r="H26" s="2" t="n">
        <v>-93631</v>
      </c>
    </row>
    <row r="27" customFormat="false" ht="12.8" hidden="false" customHeight="false" outlineLevel="0" collapsed="false">
      <c r="C27" s="2" t="n">
        <v>135100</v>
      </c>
      <c r="D27" s="2" t="n">
        <v>118239</v>
      </c>
      <c r="E27" s="2" t="n">
        <v>82947</v>
      </c>
      <c r="F27" s="2" t="n">
        <v>12568</v>
      </c>
      <c r="G27" s="2" t="n">
        <v>-40767</v>
      </c>
      <c r="H27" s="2" t="n">
        <v>-93615</v>
      </c>
    </row>
    <row r="28" customFormat="false" ht="12.8" hidden="false" customHeight="false" outlineLevel="0" collapsed="false">
      <c r="C28" s="2" t="n">
        <v>135100</v>
      </c>
      <c r="D28" s="2" t="n">
        <v>118222</v>
      </c>
      <c r="E28" s="2" t="n">
        <v>82908</v>
      </c>
      <c r="F28" s="2" t="n">
        <v>12610</v>
      </c>
      <c r="G28" s="2" t="n">
        <v>-40758</v>
      </c>
      <c r="H28" s="2" t="n">
        <v>-93647</v>
      </c>
    </row>
    <row r="29" customFormat="false" ht="12.8" hidden="false" customHeight="false" outlineLevel="0" collapsed="false">
      <c r="C29" s="2" t="n">
        <v>135090</v>
      </c>
      <c r="D29" s="2" t="n">
        <v>118204</v>
      </c>
      <c r="E29" s="2" t="n">
        <v>82944</v>
      </c>
      <c r="F29" s="2" t="n">
        <v>12645</v>
      </c>
      <c r="G29" s="2" t="n">
        <v>-40764</v>
      </c>
      <c r="H29" s="2" t="n">
        <v>-93702</v>
      </c>
    </row>
    <row r="30" customFormat="false" ht="12.8" hidden="false" customHeight="false" outlineLevel="0" collapsed="false">
      <c r="C30" s="2" t="n">
        <v>135112</v>
      </c>
      <c r="D30" s="2" t="n">
        <v>118246</v>
      </c>
      <c r="E30" s="2" t="n">
        <v>82971</v>
      </c>
      <c r="F30" s="2" t="n">
        <v>12645</v>
      </c>
      <c r="G30" s="2" t="n">
        <v>-40749</v>
      </c>
      <c r="H30" s="2" t="n">
        <v>-93670</v>
      </c>
      <c r="L30" s="4" t="s">
        <v>13</v>
      </c>
    </row>
    <row r="31" customFormat="false" ht="12.8" hidden="false" customHeight="false" outlineLevel="0" collapsed="false">
      <c r="C31" s="2" t="n">
        <v>135151</v>
      </c>
      <c r="D31" s="2" t="n">
        <v>118212</v>
      </c>
      <c r="E31" s="2" t="n">
        <v>82877</v>
      </c>
      <c r="F31" s="2" t="n">
        <v>12611</v>
      </c>
      <c r="G31" s="2" t="n">
        <v>-40742</v>
      </c>
      <c r="H31" s="2" t="n">
        <v>-93640</v>
      </c>
      <c r="L31" s="2" t="s">
        <v>14</v>
      </c>
      <c r="M31" s="2" t="s">
        <v>15</v>
      </c>
    </row>
    <row r="32" customFormat="false" ht="12.8" hidden="false" customHeight="false" outlineLevel="0" collapsed="false">
      <c r="C32" s="2" t="n">
        <v>135126</v>
      </c>
      <c r="D32" s="2" t="n">
        <v>118188</v>
      </c>
      <c r="E32" s="2" t="n">
        <v>82857</v>
      </c>
      <c r="F32" s="2" t="n">
        <v>12547</v>
      </c>
      <c r="G32" s="2" t="n">
        <v>-40782</v>
      </c>
      <c r="H32" s="2" t="n">
        <v>-93606</v>
      </c>
    </row>
    <row r="33" customFormat="false" ht="12.8" hidden="false" customHeight="false" outlineLevel="0" collapsed="false">
      <c r="C33" s="2" t="n">
        <v>135101</v>
      </c>
      <c r="D33" s="2" t="n">
        <v>118142</v>
      </c>
      <c r="E33" s="2" t="n">
        <v>82933</v>
      </c>
      <c r="F33" s="2" t="n">
        <v>12571</v>
      </c>
      <c r="G33" s="2" t="n">
        <v>-40755</v>
      </c>
      <c r="H33" s="2" t="n">
        <v>-93616</v>
      </c>
      <c r="L33" s="2" t="s">
        <v>16</v>
      </c>
    </row>
    <row r="34" customFormat="false" ht="12.8" hidden="false" customHeight="false" outlineLevel="0" collapsed="false">
      <c r="C34" s="2" t="n">
        <v>135116</v>
      </c>
      <c r="D34" s="2" t="n">
        <v>118211</v>
      </c>
      <c r="E34" s="2" t="n">
        <v>82952</v>
      </c>
      <c r="F34" s="2" t="n">
        <v>12554</v>
      </c>
      <c r="G34" s="2" t="n">
        <v>-40770</v>
      </c>
      <c r="H34" s="2" t="n">
        <v>-93665</v>
      </c>
      <c r="L34" s="2" t="n">
        <f aca="false" t="array" ref="L34:M38">LINEST($L$5:$L$10 , $K$5:$K$10 , 1 , 1)</f>
        <v>3108.74267724313</v>
      </c>
      <c r="M34" s="2" t="n">
        <v>135617.812219822</v>
      </c>
    </row>
    <row r="35" customFormat="false" ht="12.8" hidden="false" customHeight="false" outlineLevel="0" collapsed="false">
      <c r="C35" s="2" t="n">
        <v>135108</v>
      </c>
      <c r="D35" s="2" t="n">
        <v>118248</v>
      </c>
      <c r="E35" s="2" t="n">
        <v>82935</v>
      </c>
      <c r="F35" s="2" t="n">
        <v>12601</v>
      </c>
      <c r="G35" s="2" t="n">
        <v>-40782</v>
      </c>
      <c r="H35" s="2" t="n">
        <v>-93647</v>
      </c>
      <c r="L35" s="2" t="n">
        <v>5.40390695901274</v>
      </c>
      <c r="M35" s="2" t="n">
        <v>226.536512817657</v>
      </c>
    </row>
    <row r="36" customFormat="false" ht="12.8" hidden="false" customHeight="false" outlineLevel="0" collapsed="false">
      <c r="C36" s="2" t="n">
        <v>135093</v>
      </c>
      <c r="D36" s="2" t="n">
        <v>118237</v>
      </c>
      <c r="E36" s="2" t="n">
        <v>82895</v>
      </c>
      <c r="F36" s="2" t="n">
        <v>12710</v>
      </c>
      <c r="G36" s="2" t="n">
        <v>-40741</v>
      </c>
      <c r="H36" s="2" t="n">
        <v>-93684</v>
      </c>
      <c r="L36" s="2" t="n">
        <v>0.999987913489946</v>
      </c>
      <c r="M36" s="2" t="n">
        <v>356.417779520611</v>
      </c>
    </row>
    <row r="37" customFormat="false" ht="12.8" hidden="false" customHeight="false" outlineLevel="0" collapsed="false">
      <c r="C37" s="2" t="n">
        <v>135135</v>
      </c>
      <c r="D37" s="2" t="n">
        <v>118249</v>
      </c>
      <c r="E37" s="2" t="n">
        <v>82905</v>
      </c>
      <c r="F37" s="2" t="n">
        <v>12658</v>
      </c>
      <c r="G37" s="2" t="n">
        <v>-40714</v>
      </c>
      <c r="H37" s="2" t="n">
        <v>-93687</v>
      </c>
      <c r="L37" s="2" t="n">
        <v>330943.476324739</v>
      </c>
      <c r="M37" s="2" t="n">
        <v>4</v>
      </c>
    </row>
    <row r="38" customFormat="false" ht="12.8" hidden="false" customHeight="false" outlineLevel="0" collapsed="false">
      <c r="C38" s="2" t="n">
        <v>135143</v>
      </c>
      <c r="D38" s="2" t="n">
        <v>118249</v>
      </c>
      <c r="E38" s="2" t="n">
        <v>82964</v>
      </c>
      <c r="F38" s="2" t="n">
        <v>12630</v>
      </c>
      <c r="G38" s="2" t="n">
        <v>-40714</v>
      </c>
      <c r="H38" s="2" t="n">
        <v>-93692</v>
      </c>
      <c r="L38" s="2" t="n">
        <v>42040952299.9808</v>
      </c>
      <c r="M38" s="2" t="n">
        <v>508134.53423361</v>
      </c>
    </row>
    <row r="39" customFormat="false" ht="12.8" hidden="false" customHeight="false" outlineLevel="0" collapsed="false">
      <c r="C39" s="2" t="n">
        <v>135131</v>
      </c>
      <c r="D39" s="2" t="n">
        <v>118233</v>
      </c>
      <c r="E39" s="2" t="n">
        <v>82963</v>
      </c>
      <c r="F39" s="2" t="n">
        <v>12609</v>
      </c>
      <c r="G39" s="2" t="n">
        <v>-40755</v>
      </c>
      <c r="H39" s="2" t="n">
        <v>-93705</v>
      </c>
    </row>
    <row r="40" customFormat="false" ht="12.8" hidden="false" customHeight="false" outlineLevel="0" collapsed="false">
      <c r="C40" s="2" t="n">
        <v>135142</v>
      </c>
      <c r="D40" s="2" t="n">
        <v>118220</v>
      </c>
      <c r="E40" s="2" t="n">
        <v>82878</v>
      </c>
      <c r="F40" s="2" t="n">
        <v>12654</v>
      </c>
      <c r="G40" s="2" t="n">
        <v>-40738</v>
      </c>
      <c r="H40" s="2" t="n">
        <v>-93761</v>
      </c>
      <c r="L40" s="2" t="s">
        <v>18</v>
      </c>
    </row>
    <row r="41" customFormat="false" ht="12.8" hidden="false" customHeight="false" outlineLevel="0" collapsed="false">
      <c r="C41" s="2" t="n">
        <v>135108</v>
      </c>
      <c r="D41" s="2" t="n">
        <v>118214</v>
      </c>
      <c r="E41" s="2" t="n">
        <v>82843</v>
      </c>
      <c r="F41" s="2" t="n">
        <v>12685</v>
      </c>
      <c r="G41" s="2" t="n">
        <v>-40734</v>
      </c>
      <c r="H41" s="2" t="n">
        <v>-93813</v>
      </c>
      <c r="L41" s="2" t="s">
        <v>19</v>
      </c>
      <c r="M41" s="2" t="n">
        <f aca="false">$L$36</f>
        <v>0.999987913489946</v>
      </c>
    </row>
    <row r="42" customFormat="false" ht="12.8" hidden="false" customHeight="false" outlineLevel="0" collapsed="false">
      <c r="C42" s="2" t="n">
        <v>135127</v>
      </c>
      <c r="D42" s="2" t="n">
        <v>118185</v>
      </c>
      <c r="E42" s="2" t="n">
        <v>82912</v>
      </c>
      <c r="F42" s="2" t="n">
        <v>12612</v>
      </c>
      <c r="G42" s="2" t="n">
        <v>-40781</v>
      </c>
      <c r="H42" s="2" t="n">
        <v>-93828</v>
      </c>
      <c r="L42" s="2" t="s">
        <v>20</v>
      </c>
      <c r="M42" s="2" t="n">
        <f aca="false">$M$36</f>
        <v>356.417779520611</v>
      </c>
    </row>
    <row r="43" customFormat="false" ht="12.8" hidden="false" customHeight="false" outlineLevel="0" collapsed="false">
      <c r="C43" s="2" t="n">
        <v>135076</v>
      </c>
      <c r="D43" s="2" t="n">
        <v>118141</v>
      </c>
      <c r="E43" s="2" t="n">
        <v>82889</v>
      </c>
      <c r="F43" s="2" t="n">
        <v>12606</v>
      </c>
      <c r="G43" s="2" t="n">
        <v>-40801</v>
      </c>
      <c r="H43" s="2" t="n">
        <v>-93788</v>
      </c>
      <c r="L43" s="2" t="s">
        <v>21</v>
      </c>
      <c r="M43" s="2" t="n">
        <f aca="false">1</f>
        <v>1</v>
      </c>
    </row>
    <row r="44" customFormat="false" ht="12.8" hidden="false" customHeight="false" outlineLevel="0" collapsed="false">
      <c r="C44" s="2" t="n">
        <v>135061</v>
      </c>
      <c r="D44" s="2" t="n">
        <v>118151</v>
      </c>
      <c r="E44" s="2" t="n">
        <v>82904</v>
      </c>
      <c r="F44" s="2" t="n">
        <v>12590</v>
      </c>
      <c r="G44" s="2" t="n">
        <v>-40760</v>
      </c>
      <c r="H44" s="2" t="n">
        <v>-93752</v>
      </c>
      <c r="L44" s="2" t="s">
        <v>22</v>
      </c>
      <c r="M44" s="2" t="n">
        <f aca="false">6</f>
        <v>6</v>
      </c>
    </row>
    <row r="45" customFormat="false" ht="12.8" hidden="false" customHeight="false" outlineLevel="0" collapsed="false">
      <c r="C45" s="2" t="n">
        <v>135086</v>
      </c>
      <c r="D45" s="2" t="n">
        <v>118178</v>
      </c>
      <c r="E45" s="2" t="n">
        <v>82918</v>
      </c>
      <c r="F45" s="2" t="n">
        <v>12613</v>
      </c>
      <c r="G45" s="2" t="n">
        <v>-40792</v>
      </c>
      <c r="H45" s="2" t="n">
        <v>-93777</v>
      </c>
      <c r="L45" s="2" t="s">
        <v>23</v>
      </c>
      <c r="M45" s="2" t="n">
        <f aca="false">1 - (1 - $L$36)*($M$44 - 1)/($M$44 - $M$43 - 1)</f>
        <v>0.999984891862432</v>
      </c>
    </row>
    <row r="46" customFormat="false" ht="12.8" hidden="false" customHeight="false" outlineLevel="0" collapsed="false">
      <c r="C46" s="2" t="n">
        <v>135111</v>
      </c>
      <c r="D46" s="2" t="n">
        <v>118166</v>
      </c>
      <c r="E46" s="2" t="n">
        <v>82957</v>
      </c>
      <c r="F46" s="2" t="n">
        <v>12591</v>
      </c>
      <c r="G46" s="2" t="n">
        <v>-40788</v>
      </c>
      <c r="H46" s="2" t="n">
        <v>-93749</v>
      </c>
    </row>
    <row r="47" customFormat="false" ht="12.8" hidden="false" customHeight="false" outlineLevel="0" collapsed="false">
      <c r="C47" s="2" t="n">
        <v>135093</v>
      </c>
      <c r="D47" s="2" t="n">
        <v>118209</v>
      </c>
      <c r="E47" s="2" t="n">
        <v>82951</v>
      </c>
      <c r="F47" s="2" t="n">
        <v>12544</v>
      </c>
      <c r="G47" s="2" t="n">
        <v>-40805</v>
      </c>
      <c r="H47" s="2" t="n">
        <v>-93717</v>
      </c>
      <c r="L47" s="2" t="s">
        <v>24</v>
      </c>
    </row>
    <row r="48" customFormat="false" ht="12.8" hidden="false" customHeight="false" outlineLevel="0" collapsed="false">
      <c r="C48" s="2" t="n">
        <v>135079</v>
      </c>
      <c r="D48" s="2" t="n">
        <v>118220</v>
      </c>
      <c r="E48" s="2" t="n">
        <v>82930</v>
      </c>
      <c r="F48" s="2" t="n">
        <v>12551</v>
      </c>
      <c r="G48" s="2" t="n">
        <v>-40779</v>
      </c>
      <c r="H48" s="2" t="n">
        <v>-93724</v>
      </c>
      <c r="M48" s="2" t="s">
        <v>25</v>
      </c>
      <c r="N48" s="2" t="s">
        <v>26</v>
      </c>
      <c r="O48" s="2" t="s">
        <v>27</v>
      </c>
      <c r="P48" s="2" t="s">
        <v>28</v>
      </c>
      <c r="Q48" s="2" t="s">
        <v>29</v>
      </c>
    </row>
    <row r="49" customFormat="false" ht="12.8" hidden="false" customHeight="false" outlineLevel="0" collapsed="false">
      <c r="C49" s="2" t="n">
        <v>135101</v>
      </c>
      <c r="D49" s="2" t="n">
        <v>118248</v>
      </c>
      <c r="E49" s="2" t="n">
        <v>82941</v>
      </c>
      <c r="F49" s="2" t="n">
        <v>12558</v>
      </c>
      <c r="G49" s="2" t="n">
        <v>-40798</v>
      </c>
      <c r="H49" s="2" t="n">
        <v>-93751</v>
      </c>
      <c r="L49" s="2" t="s">
        <v>13</v>
      </c>
      <c r="M49" s="2" t="n">
        <f aca="false">$M$43</f>
        <v>1</v>
      </c>
      <c r="N49" s="2" t="n">
        <f aca="false">$L$38</f>
        <v>42040952299.9808</v>
      </c>
      <c r="O49" s="2" t="n">
        <f aca="false">$L$38 / $M$49</f>
        <v>42040952299.9808</v>
      </c>
      <c r="P49" s="2" t="n">
        <f aca="false">$L$37</f>
        <v>330943.476324739</v>
      </c>
      <c r="Q49" s="2" t="n">
        <f aca="false">FDIST($L$37 , $M$49 , $M$37)</f>
        <v>5.47816176903529E-011</v>
      </c>
    </row>
    <row r="50" customFormat="false" ht="12.8" hidden="false" customHeight="false" outlineLevel="0" collapsed="false">
      <c r="C50" s="2" t="n">
        <v>135087</v>
      </c>
      <c r="D50" s="2" t="n">
        <v>118185</v>
      </c>
      <c r="E50" s="2" t="n">
        <v>82906</v>
      </c>
      <c r="F50" s="2" t="n">
        <v>12584</v>
      </c>
      <c r="G50" s="2" t="n">
        <v>-40791</v>
      </c>
      <c r="H50" s="2" t="n">
        <v>-93708</v>
      </c>
      <c r="L50" s="2" t="s">
        <v>30</v>
      </c>
      <c r="M50" s="2" t="n">
        <f aca="false">$M$37</f>
        <v>4</v>
      </c>
      <c r="N50" s="2" t="n">
        <f aca="false">$M$38</f>
        <v>508134.53423361</v>
      </c>
      <c r="O50" s="2" t="n">
        <f aca="false">$M$38 / $M$37</f>
        <v>127033.633558403</v>
      </c>
    </row>
    <row r="51" customFormat="false" ht="12.8" hidden="false" customHeight="false" outlineLevel="0" collapsed="false">
      <c r="C51" s="2" t="n">
        <v>135046</v>
      </c>
      <c r="D51" s="2" t="n">
        <v>118108</v>
      </c>
      <c r="E51" s="2" t="n">
        <v>82930</v>
      </c>
      <c r="F51" s="2" t="n">
        <v>12606</v>
      </c>
      <c r="G51" s="2" t="n">
        <v>-40800</v>
      </c>
      <c r="H51" s="2" t="n">
        <v>-93758</v>
      </c>
      <c r="L51" s="2" t="s">
        <v>31</v>
      </c>
      <c r="M51" s="2" t="n">
        <f aca="false">$M$49 + $M$37</f>
        <v>5</v>
      </c>
      <c r="N51" s="2" t="n">
        <f aca="false">$L$38 + $M$38</f>
        <v>42041460434.515</v>
      </c>
    </row>
    <row r="52" customFormat="false" ht="12.8" hidden="false" customHeight="false" outlineLevel="0" collapsed="false">
      <c r="C52" s="2" t="n">
        <v>135059</v>
      </c>
      <c r="D52" s="2" t="n">
        <v>118119</v>
      </c>
      <c r="E52" s="2" t="n">
        <v>82959</v>
      </c>
      <c r="F52" s="2" t="n">
        <v>12621</v>
      </c>
      <c r="G52" s="2" t="n">
        <v>-40798</v>
      </c>
      <c r="H52" s="2" t="n">
        <v>-93829</v>
      </c>
    </row>
    <row r="53" customFormat="false" ht="12.8" hidden="false" customHeight="false" outlineLevel="0" collapsed="false">
      <c r="C53" s="2" t="n">
        <v>135111</v>
      </c>
      <c r="D53" s="2" t="n">
        <v>118105</v>
      </c>
      <c r="E53" s="2" t="n">
        <v>82953</v>
      </c>
      <c r="F53" s="2" t="n">
        <v>12590</v>
      </c>
      <c r="G53" s="2" t="n">
        <v>-40792</v>
      </c>
      <c r="H53" s="2" t="n">
        <v>-93738</v>
      </c>
      <c r="L53" s="2" t="s">
        <v>32</v>
      </c>
      <c r="M53" s="2" t="n">
        <v>0.95</v>
      </c>
    </row>
    <row r="54" customFormat="false" ht="12.8" hidden="false" customHeight="false" outlineLevel="0" collapsed="false">
      <c r="B54" s="2" t="s">
        <v>6</v>
      </c>
      <c r="C54" s="2" t="n">
        <f aca="false">AVERAGE(C4:C53)</f>
        <v>135138.58</v>
      </c>
      <c r="D54" s="2" t="n">
        <f aca="false">AVERAGE(D4:D53)</f>
        <v>118194.04</v>
      </c>
      <c r="E54" s="2" t="n">
        <f aca="false">AVERAGE(E4:E53)</f>
        <v>82914.6</v>
      </c>
      <c r="F54" s="2" t="n">
        <f aca="false">AVERAGE(F4:F53)</f>
        <v>12600.36</v>
      </c>
      <c r="G54" s="2" t="n">
        <f aca="false">AVERAGE(G4:G53)</f>
        <v>-40769.68</v>
      </c>
      <c r="H54" s="2" t="n">
        <f aca="false">AVERAGE(H4:H53)</f>
        <v>-93674.44</v>
      </c>
    </row>
    <row r="55" customFormat="false" ht="12.8" hidden="false" customHeight="false" outlineLevel="0" collapsed="false">
      <c r="M55" s="2" t="s">
        <v>33</v>
      </c>
      <c r="N55" s="2" t="s">
        <v>20</v>
      </c>
      <c r="O55" s="2" t="s">
        <v>34</v>
      </c>
      <c r="P55" s="2" t="s">
        <v>35</v>
      </c>
      <c r="Q55" s="2" t="str">
        <f aca="false">_xlfn.CONCAT("Lower " , INT($M$53 * 100) , "%")</f>
        <v>Lower 95%</v>
      </c>
      <c r="R55" s="2" t="str">
        <f aca="false">_xlfn.CONCAT("Upper " , INT($M$53 * 100) , "%")</f>
        <v>Upper 95%</v>
      </c>
    </row>
    <row r="56" customFormat="false" ht="12.8" hidden="false" customHeight="false" outlineLevel="0" collapsed="false">
      <c r="D56" s="2" t="n">
        <v>6</v>
      </c>
      <c r="E56" s="2" t="n">
        <v>17</v>
      </c>
      <c r="F56" s="2" t="n">
        <v>39</v>
      </c>
      <c r="H56" s="2" t="n">
        <v>73</v>
      </c>
      <c r="L56" s="2" t="str">
        <f aca="false">"Intercept"</f>
        <v>Intercept</v>
      </c>
      <c r="M56" s="2" t="n">
        <f aca="false" t="array" ref="M56:M57">INDEX($L$34:$M$34, 1 , 58 - ROW())</f>
        <v>135617.812219822</v>
      </c>
      <c r="N56" s="2" t="n">
        <f aca="false" t="array" ref="N56:N57">INDEX($L$35:$M$35, 1 , 58 - ROW())</f>
        <v>226.536512817657</v>
      </c>
      <c r="O56" s="2" t="n">
        <f aca="false" t="array" ref="O56:O57">$M$56:$M$57 / $N$56:$N$57</f>
        <v>598.657631535905</v>
      </c>
      <c r="P56" s="2" t="n">
        <f aca="false" t="array" ref="P56:P57">TDIST(ABS($O$56:$O$57) , $M$37 , 2 )</f>
        <v>4.67120663615225E-011</v>
      </c>
      <c r="Q56" s="2" t="n">
        <f aca="false" t="array" ref="Q56:Q57">$M$56:$M$57 - $N$56:$N$57 * TINV(1 - $M$53 , $M$37)</f>
        <v>134988.846027661</v>
      </c>
      <c r="R56" s="2" t="n">
        <f aca="false" t="array" ref="R56:R57">$M$56:$M$57 + $N$56:$N$57 * TINV(1 - $M$53 , $M$37)</f>
        <v>136246.778411983</v>
      </c>
    </row>
    <row r="57" customFormat="false" ht="12.8" hidden="false" customHeight="false" outlineLevel="0" collapsed="false">
      <c r="A57" s="2" t="s">
        <v>65</v>
      </c>
      <c r="L57" s="2" t="str">
        <f aca="false">"X1"</f>
        <v>X1</v>
      </c>
      <c r="M57" s="2" t="n">
        <v>3108.74267724313</v>
      </c>
      <c r="N57" s="2" t="n">
        <v>5.40390695901274</v>
      </c>
      <c r="O57" s="2" t="n">
        <v>575.276869276646</v>
      </c>
      <c r="P57" s="2" t="n">
        <v>5.47816176903529E-011</v>
      </c>
      <c r="Q57" s="2" t="n">
        <v>3093.73902621783</v>
      </c>
      <c r="R57" s="2" t="n">
        <v>3123.74632826842</v>
      </c>
    </row>
    <row r="59" customFormat="false" ht="12.8" hidden="false" customHeight="false" outlineLevel="0" collapsed="false">
      <c r="L59" s="2" t="str">
        <f aca="false">"X1"</f>
        <v>X1</v>
      </c>
      <c r="M59" s="2" t="s">
        <v>36</v>
      </c>
      <c r="N59" s="2" t="str">
        <f aca="false">"Y"</f>
        <v>Y</v>
      </c>
      <c r="O59" s="2" t="s">
        <v>30</v>
      </c>
    </row>
    <row r="60" customFormat="false" ht="12.8" hidden="false" customHeight="false" outlineLevel="0" collapsed="false">
      <c r="L60" s="2" t="n">
        <f aca="false" t="array" ref="L60:L65">$K$5:$K$10</f>
        <v>0</v>
      </c>
      <c r="M60" s="2" t="n">
        <f aca="false" t="array" ref="M60:M65">MMULT($L$60:$L$65 , $M$57) + $M$56</f>
        <v>135617.812219822</v>
      </c>
      <c r="N60" s="2" t="n">
        <f aca="false" t="array" ref="N60:N65">$L$5:$L$10</f>
        <v>135138.58</v>
      </c>
      <c r="O60" s="2" t="n">
        <f aca="false" t="array" ref="O60:O65">$N$60:$N$65 - $M$60:$M$65</f>
        <v>-479.232219821744</v>
      </c>
    </row>
    <row r="61" customFormat="false" ht="12.8" hidden="false" customHeight="false" outlineLevel="0" collapsed="false">
      <c r="L61" s="2" t="n">
        <v>-5.67</v>
      </c>
      <c r="M61" s="2" t="n">
        <v>117991.241239853</v>
      </c>
      <c r="N61" s="2" t="n">
        <v>118194.04</v>
      </c>
      <c r="O61" s="2" t="n">
        <v>202.798760146805</v>
      </c>
    </row>
    <row r="62" customFormat="false" ht="12.8" hidden="false" customHeight="false" outlineLevel="0" collapsed="false">
      <c r="L62" s="2" t="n">
        <v>-17.01</v>
      </c>
      <c r="M62" s="2" t="n">
        <v>82738.0992799161</v>
      </c>
      <c r="N62" s="2" t="n">
        <v>82914.6</v>
      </c>
      <c r="O62" s="2" t="n">
        <v>176.500720083903</v>
      </c>
    </row>
    <row r="63" customFormat="false" ht="12.8" hidden="false" customHeight="false" outlineLevel="0" collapsed="false">
      <c r="L63" s="2" t="n">
        <v>-39.7</v>
      </c>
      <c r="M63" s="2" t="n">
        <v>12200.7279332695</v>
      </c>
      <c r="N63" s="2" t="n">
        <v>12600.36</v>
      </c>
      <c r="O63" s="2" t="n">
        <v>399.632066730497</v>
      </c>
    </row>
    <row r="64" customFormat="false" ht="12.8" hidden="false" customHeight="false" outlineLevel="0" collapsed="false">
      <c r="L64" s="2" t="n">
        <v>-56.7</v>
      </c>
      <c r="M64" s="2" t="n">
        <v>-40647.8975798637</v>
      </c>
      <c r="N64" s="2" t="n">
        <v>-40769.68</v>
      </c>
      <c r="O64" s="2" t="n">
        <v>-121.782420136304</v>
      </c>
    </row>
    <row r="65" customFormat="false" ht="12.8" hidden="false" customHeight="false" outlineLevel="0" collapsed="false">
      <c r="L65" s="2" t="n">
        <v>-73.7</v>
      </c>
      <c r="M65" s="2" t="n">
        <v>-93496.5230929969</v>
      </c>
      <c r="N65" s="2" t="n">
        <v>-93674.44</v>
      </c>
      <c r="O65" s="2" t="n">
        <v>-177.91690700312</v>
      </c>
    </row>
  </sheetData>
  <hyperlinks>
    <hyperlink ref="I1" r:id="rId1" location=":~:text=All%2025%2Dcent%20coins%20manufactured,a%20diameter%20of%2024.26%20millimeters" display="Coin tolerances are +/-4% according to https://www.thesprucecrafts.com/how-much-do-coins-weigh-4171330#:~:text=All%2025%2Dcent%20coins%20manufactured,a%20diameter%20of%2024.26%20millimeter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54097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2021-03-28T22:28:07Z</dcterms:created>
  <dc:creator/>
  <dc:description/>
  <dc:language>en-US</dc:language>
  <cp:lastModifiedBy/>
  <dcterms:modified xsi:type="dcterms:W3CDTF">2025-10-14T23:34:13Z</dcterms:modified>
  <cp:revision>102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